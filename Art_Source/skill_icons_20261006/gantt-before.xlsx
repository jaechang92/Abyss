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목표 간트" sheetId="1" state="visible" r:id="rId1"/>
    <sheet name="목표 상세" sheetId="2" state="visible" r:id="rId2"/>
    <sheet name="Content Gantt" sheetId="3" state="visible" r:id="rId3"/>
    <sheet name="작업관리" sheetId="4" state="visible" r:id="rId4"/>
    <sheet name="진척 대시보드" sheetId="5" state="visible" r:id="rId5"/>
    <sheet name="범례" sheetId="6" state="visible" r:id="rId6"/>
    <sheet name="Claude 작업 이력" sheetId="7" state="visible" r:id="rId7"/>
  </sheets>
  <definedNames>
    <definedName name="_xlnm._FilterDatabase" localSheetId="6" hidden="1">'Claude 작업 이력'!$A$3:$I$45</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6">
    <font>
      <name val="Calibri"/>
      <family val="2"/>
      <color theme="1"/>
      <sz val="11"/>
      <scheme val="minor"/>
    </font>
    <font>
      <b val="1"/>
      <color rgb="00FFFFFF"/>
      <sz val="11"/>
    </font>
    <font>
      <b val="1"/>
      <color rgb="00FFFFFF"/>
      <sz val="10"/>
    </font>
    <font>
      <b val="1"/>
      <color rgb="00FFFFFF"/>
      <sz val="11"/>
      <u val="single"/>
    </font>
    <font>
      <sz val="10"/>
    </font>
    <font>
      <b val="1"/>
      <color rgb="00FFFFFF"/>
      <sz val="9"/>
    </font>
    <font>
      <b val="1"/>
      <color rgb="00FFFFFF"/>
      <sz val="12"/>
    </font>
    <font>
      <b val="1"/>
      <sz val="10"/>
    </font>
    <font>
      <b val="1"/>
      <color rgb="00FFFFFF"/>
      <sz val="14"/>
    </font>
    <font>
      <b val="1"/>
    </font>
    <font>
      <color rgb="001565C0"/>
      <u val="single"/>
    </font>
    <font>
      <b val="1"/>
      <color rgb="00FFFFFF"/>
    </font>
    <font>
      <name val="Malgun Gothic"/>
      <color rgb="00263238"/>
      <sz val="10"/>
    </font>
    <font>
      <name val="Malgun Gothic"/>
      <b val="1"/>
      <color rgb="00FFFFFF"/>
      <sz val="10"/>
    </font>
    <font>
      <name val="Malgun Gothic"/>
      <b val="1"/>
      <color rgb="00263238"/>
      <sz val="16"/>
    </font>
    <font>
      <name val="Malgun Gothic"/>
      <b val="1"/>
      <color rgb="00263238"/>
      <sz val="10"/>
    </font>
  </fonts>
  <fills count="34">
    <fill>
      <patternFill/>
    </fill>
    <fill>
      <patternFill patternType="gray125"/>
    </fill>
    <fill>
      <patternFill patternType="solid">
        <fgColor rgb="00263238"/>
      </patternFill>
    </fill>
    <fill>
      <patternFill patternType="solid">
        <fgColor rgb="00BDBDBD"/>
      </patternFill>
    </fill>
    <fill>
      <patternFill patternType="solid">
        <fgColor rgb="0090CAF9"/>
      </patternFill>
    </fill>
    <fill>
      <patternFill patternType="solid">
        <fgColor rgb="0042A5F5"/>
      </patternFill>
    </fill>
    <fill>
      <patternFill patternType="solid">
        <fgColor rgb="00CE93D8"/>
      </patternFill>
    </fill>
    <fill>
      <patternFill patternType="solid">
        <fgColor rgb="00AB47BC"/>
      </patternFill>
    </fill>
    <fill>
      <patternFill patternType="solid">
        <fgColor rgb="006A1B9A"/>
      </patternFill>
    </fill>
    <fill>
      <patternFill patternType="solid">
        <fgColor rgb="00FFCC80"/>
      </patternFill>
    </fill>
    <fill>
      <patternFill patternType="solid">
        <fgColor rgb="00FB8C00"/>
      </patternFill>
    </fill>
    <fill>
      <patternFill patternType="solid">
        <fgColor rgb="00C62828"/>
      </patternFill>
    </fill>
    <fill>
      <patternFill patternType="solid">
        <fgColor rgb="002E7D32"/>
      </patternFill>
    </fill>
    <fill>
      <patternFill patternType="solid">
        <fgColor rgb="00E65100"/>
      </patternFill>
    </fill>
    <fill>
      <patternFill patternType="solid">
        <fgColor rgb="00E53935"/>
      </patternFill>
    </fill>
    <fill>
      <patternFill patternType="solid">
        <fgColor rgb="00FFF59D"/>
      </patternFill>
    </fill>
    <fill>
      <patternFill patternType="solid">
        <fgColor rgb="001565C0"/>
      </patternFill>
    </fill>
    <fill>
      <patternFill patternType="solid">
        <fgColor rgb="00C8E6C9"/>
      </patternFill>
    </fill>
    <fill>
      <patternFill patternType="solid">
        <fgColor rgb="00FFF9C4"/>
      </patternFill>
    </fill>
    <fill>
      <patternFill patternType="solid">
        <fgColor rgb="00ECEFF1"/>
      </patternFill>
    </fill>
    <fill>
      <patternFill patternType="solid">
        <fgColor rgb="00FFCDD2"/>
      </patternFill>
    </fill>
    <fill>
      <patternFill patternType="solid">
        <fgColor rgb="00BBDEFB"/>
      </patternFill>
    </fill>
    <fill>
      <patternFill patternType="solid">
        <fgColor rgb="00263238"/>
        <bgColor rgb="00263238"/>
      </patternFill>
    </fill>
    <fill>
      <patternFill patternType="solid">
        <fgColor rgb="00DCEBFA"/>
        <bgColor rgb="00DCEBFA"/>
      </patternFill>
    </fill>
    <fill>
      <patternFill patternType="solid">
        <fgColor rgb="00FFF5CC"/>
        <bgColor rgb="00FFF5CC"/>
      </patternFill>
    </fill>
    <fill>
      <patternFill patternType="solid">
        <fgColor rgb="00C5DAF2"/>
        <bgColor rgb="00C5DAF2"/>
      </patternFill>
    </fill>
    <fill>
      <patternFill patternType="solid">
        <fgColor rgb="00DDD1EE"/>
        <bgColor rgb="00DDD1EE"/>
      </patternFill>
    </fill>
    <fill>
      <patternFill patternType="solid">
        <fgColor rgb="00EDE6F4"/>
        <bgColor rgb="00EDE6F4"/>
      </patternFill>
    </fill>
    <fill>
      <patternFill patternType="solid">
        <fgColor rgb="00CCB8E1"/>
        <bgColor rgb="00CCB8E1"/>
      </patternFill>
    </fill>
    <fill>
      <patternFill patternType="solid">
        <fgColor rgb="00D9DDE5"/>
        <bgColor rgb="00D9DDE5"/>
      </patternFill>
    </fill>
    <fill>
      <patternFill patternType="solid">
        <fgColor rgb="00FFE3BF"/>
        <bgColor rgb="00FFE3BF"/>
      </patternFill>
    </fill>
    <fill>
      <patternFill patternType="solid">
        <fgColor rgb="00FFD39C"/>
        <bgColor rgb="00FFD39C"/>
      </patternFill>
    </fill>
    <fill>
      <patternFill patternType="solid">
        <fgColor rgb="00D1FAE5"/>
      </patternFill>
    </fill>
    <fill>
      <patternFill patternType="solid">
        <fgColor rgb="00DBEAFE"/>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9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2" fillId="7" borderId="0" applyAlignment="1" pivotButton="0" quotePrefix="0" xfId="0">
      <alignment horizontal="center" vertical="center" wrapText="1"/>
    </xf>
    <xf numFmtId="0" fontId="2" fillId="8" borderId="0" applyAlignment="1" pivotButton="0" quotePrefix="0" xfId="0">
      <alignment horizontal="center" vertical="center" wrapText="1"/>
    </xf>
    <xf numFmtId="0" fontId="2"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2" fillId="11" borderId="0" applyAlignment="1" pivotButton="0" quotePrefix="0" xfId="0">
      <alignment horizontal="center" vertical="center" wrapText="1"/>
    </xf>
    <xf numFmtId="0" fontId="2" fillId="12" borderId="0" applyAlignment="1" pivotButton="0" quotePrefix="0" xfId="0">
      <alignment horizontal="center" vertical="center"/>
    </xf>
    <xf numFmtId="0" fontId="2" fillId="13" borderId="0" applyAlignment="1" pivotButton="0" quotePrefix="0" xfId="0">
      <alignment horizontal="center" vertical="center"/>
    </xf>
    <xf numFmtId="0" fontId="3" fillId="2" borderId="0" applyAlignment="1" pivotButton="0" quotePrefix="0" xfId="0">
      <alignment horizontal="left" vertical="center" indent="1"/>
    </xf>
    <xf numFmtId="0" fontId="4" fillId="0" borderId="1" applyAlignment="1" pivotButton="0" quotePrefix="0" xfId="0">
      <alignment horizontal="left" vertical="center" indent="1"/>
    </xf>
    <xf numFmtId="0" fontId="2" fillId="3"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vertical="center"/>
    </xf>
    <xf numFmtId="164" fontId="0" fillId="0" borderId="1" applyAlignment="1" pivotButton="0" quotePrefix="0" xfId="0">
      <alignment horizontal="center" vertical="center"/>
    </xf>
    <xf numFmtId="1" fontId="0" fillId="0"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0" fillId="6" borderId="1" pivotButton="0" quotePrefix="0" xfId="0"/>
    <xf numFmtId="0" fontId="0" fillId="7" borderId="1" pivotButton="0" quotePrefix="0" xfId="0"/>
    <xf numFmtId="0" fontId="0" fillId="9" borderId="1" pivotButton="0" quotePrefix="0" xfId="0"/>
    <xf numFmtId="0" fontId="0" fillId="10" borderId="1" pivotButton="0" quotePrefix="0" xfId="0"/>
    <xf numFmtId="0" fontId="2" fillId="14" borderId="1" applyAlignment="1" pivotButton="0" quotePrefix="0" xfId="0">
      <alignment horizontal="center" vertical="center"/>
    </xf>
    <xf numFmtId="0" fontId="2" fillId="9" borderId="1" applyAlignment="1" pivotButton="0" quotePrefix="0" xfId="0">
      <alignment horizontal="center" vertical="center"/>
    </xf>
    <xf numFmtId="0" fontId="5" fillId="3"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0" fillId="5" borderId="1" pivotButton="0" quotePrefix="0" xfId="0"/>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5" fillId="4" borderId="1" applyAlignment="1" pivotButton="0" quotePrefix="0" xfId="0">
      <alignment horizontal="center" vertical="center"/>
    </xf>
    <xf numFmtId="0" fontId="0" fillId="8" borderId="1" pivotButton="0" quotePrefix="0" xfId="0"/>
    <xf numFmtId="0" fontId="0" fillId="11" borderId="1" pivotButton="0" quotePrefix="0" xfId="0"/>
    <xf numFmtId="0" fontId="0" fillId="4" borderId="1" pivotButton="0" quotePrefix="0" xfId="0"/>
    <xf numFmtId="0" fontId="6" fillId="11" borderId="1" applyAlignment="1" pivotButton="0" quotePrefix="0" xfId="0">
      <alignment horizontal="center" vertical="center"/>
    </xf>
    <xf numFmtId="0" fontId="7" fillId="15" borderId="0" applyAlignment="1" pivotButton="0" quotePrefix="0" xfId="0">
      <alignment horizontal="left" vertical="center" wrapText="1"/>
    </xf>
    <xf numFmtId="0" fontId="2" fillId="2" borderId="0" applyAlignment="1" pivotButton="0" quotePrefix="0" xfId="0">
      <alignment horizontal="center" vertical="center"/>
    </xf>
    <xf numFmtId="0" fontId="0" fillId="0" borderId="2" applyAlignment="1" pivotButton="0" quotePrefix="0" xfId="0">
      <alignment horizontal="center" vertical="center"/>
    </xf>
    <xf numFmtId="0" fontId="0" fillId="0" borderId="2" applyAlignment="1" pivotButton="0" quotePrefix="0" xfId="0">
      <alignment horizontal="left" vertical="center"/>
    </xf>
    <xf numFmtId="0" fontId="8" fillId="16" borderId="0" applyAlignment="1" pivotButton="0" quotePrefix="0" xfId="0">
      <alignment horizontal="center" vertical="center"/>
    </xf>
    <xf numFmtId="0" fontId="9" fillId="0" borderId="0" pivotButton="0" quotePrefix="0" xfId="0"/>
    <xf numFmtId="164" fontId="0" fillId="0" borderId="0" pivotButton="0" quotePrefix="0" xfId="0"/>
    <xf numFmtId="0" fontId="2" fillId="16" borderId="0" applyAlignment="1" pivotButton="0" quotePrefix="0" xfId="0">
      <alignment horizontal="center" vertical="center"/>
    </xf>
    <xf numFmtId="0" fontId="9" fillId="17" borderId="0" applyAlignment="1" pivotButton="0" quotePrefix="0" xfId="0">
      <alignment horizontal="left" vertical="center"/>
    </xf>
    <xf numFmtId="0" fontId="0" fillId="0" borderId="0" applyAlignment="1" pivotButton="0" quotePrefix="0" xfId="0">
      <alignment horizontal="center" vertical="center"/>
    </xf>
    <xf numFmtId="165" fontId="0" fillId="0" borderId="0" applyAlignment="1" pivotButton="0" quotePrefix="0" xfId="0">
      <alignment horizontal="center" vertical="center"/>
    </xf>
    <xf numFmtId="0" fontId="9" fillId="18" borderId="0" applyAlignment="1" pivotButton="0" quotePrefix="0" xfId="0">
      <alignment horizontal="left" vertical="center"/>
    </xf>
    <xf numFmtId="0" fontId="9" fillId="19" borderId="0" applyAlignment="1" pivotButton="0" quotePrefix="0" xfId="0">
      <alignment horizontal="left" vertical="center"/>
    </xf>
    <xf numFmtId="0" fontId="9" fillId="20" borderId="0" applyAlignment="1" pivotButton="0" quotePrefix="0" xfId="0">
      <alignment horizontal="left" vertical="center"/>
    </xf>
    <xf numFmtId="0" fontId="10" fillId="0" borderId="0" applyAlignment="1" pivotButton="0" quotePrefix="0" xfId="0">
      <alignment horizontal="left" vertical="center" wrapText="1"/>
    </xf>
    <xf numFmtId="165" fontId="9" fillId="0" borderId="0" applyAlignment="1" pivotButton="0" quotePrefix="0" xfId="0">
      <alignment horizontal="center" vertical="center"/>
    </xf>
    <xf numFmtId="0" fontId="9" fillId="15" borderId="0" applyAlignment="1" pivotButton="0" quotePrefix="0" xfId="0">
      <alignment horizontal="left" vertical="center"/>
    </xf>
    <xf numFmtId="0" fontId="0" fillId="0" borderId="0" applyAlignment="1" pivotButton="0" quotePrefix="0" xfId="0">
      <alignment horizontal="left" vertical="center"/>
    </xf>
    <xf numFmtId="0" fontId="6" fillId="16" borderId="0" applyAlignment="1" pivotButton="0" quotePrefix="0" xfId="0">
      <alignment horizontal="center" vertical="center"/>
    </xf>
    <xf numFmtId="0" fontId="9" fillId="21" borderId="0" applyAlignment="1" pivotButton="0" quotePrefix="0" xfId="0">
      <alignment horizontal="left" vertical="center"/>
    </xf>
    <xf numFmtId="0" fontId="0" fillId="0" borderId="0" applyAlignment="1" pivotButton="0" quotePrefix="0" xfId="0">
      <alignment horizontal="left" vertical="center" wrapText="1"/>
    </xf>
    <xf numFmtId="0" fontId="11" fillId="3" borderId="0" applyAlignment="1" pivotButton="0" quotePrefix="0" xfId="0">
      <alignment horizontal="center" vertical="center"/>
    </xf>
    <xf numFmtId="0" fontId="11" fillId="4" borderId="0" applyAlignment="1" pivotButton="0" quotePrefix="0" xfId="0">
      <alignment horizontal="center" vertical="center"/>
    </xf>
    <xf numFmtId="0" fontId="11" fillId="5" borderId="0" applyAlignment="1" pivotButton="0" quotePrefix="0" xfId="0">
      <alignment horizontal="center" vertical="center"/>
    </xf>
    <xf numFmtId="0" fontId="11" fillId="6" borderId="0" applyAlignment="1" pivotButton="0" quotePrefix="0" xfId="0">
      <alignment horizontal="center" vertical="center"/>
    </xf>
    <xf numFmtId="0" fontId="11" fillId="7" borderId="0" applyAlignment="1" pivotButton="0" quotePrefix="0" xfId="0">
      <alignment horizontal="center" vertical="center"/>
    </xf>
    <xf numFmtId="0" fontId="11" fillId="8" borderId="0" applyAlignment="1" pivotButton="0" quotePrefix="0" xfId="0">
      <alignment horizontal="center" vertical="center"/>
    </xf>
    <xf numFmtId="0" fontId="11" fillId="9" borderId="0" applyAlignment="1" pivotButton="0" quotePrefix="0" xfId="0">
      <alignment horizontal="center" vertical="center"/>
    </xf>
    <xf numFmtId="0" fontId="11" fillId="10" borderId="0" applyAlignment="1" pivotButton="0" quotePrefix="0" xfId="0">
      <alignment horizontal="center" vertical="center"/>
    </xf>
    <xf numFmtId="0" fontId="11" fillId="11" borderId="0" applyAlignment="1" pivotButton="0" quotePrefix="0" xfId="0">
      <alignment horizontal="center" vertical="center"/>
    </xf>
    <xf numFmtId="0" fontId="11" fillId="14" borderId="0" applyAlignment="1" pivotButton="0" quotePrefix="0" xfId="0">
      <alignment horizontal="center" vertical="center"/>
    </xf>
    <xf numFmtId="0" fontId="11" fillId="22" borderId="0" applyAlignment="1" pivotButton="0" quotePrefix="0" xfId="0">
      <alignment horizontal="center"/>
    </xf>
    <xf numFmtId="165" fontId="0" fillId="0" borderId="0" pivotButton="0" quotePrefix="0" xfId="0"/>
    <xf numFmtId="0" fontId="2" fillId="16" borderId="0" applyAlignment="1" pivotButton="0" quotePrefix="0" xfId="0">
      <alignment wrapText="1"/>
    </xf>
    <xf numFmtId="0" fontId="0" fillId="0" borderId="0" applyAlignment="1" pivotButton="0" quotePrefix="0" xfId="0">
      <alignment wrapText="1"/>
    </xf>
    <xf numFmtId="0" fontId="12" fillId="0" borderId="0" applyAlignment="1" pivotButton="0" quotePrefix="0" xfId="0">
      <alignment vertical="center"/>
    </xf>
    <xf numFmtId="0" fontId="14" fillId="0" borderId="0" applyAlignment="1" pivotButton="0" quotePrefix="0" xfId="0">
      <alignment vertical="center"/>
    </xf>
    <xf numFmtId="0" fontId="13" fillId="22" borderId="0" applyAlignment="1" pivotButton="0" quotePrefix="0" xfId="0">
      <alignment horizontal="center" vertical="center" wrapText="1"/>
    </xf>
    <xf numFmtId="0" fontId="12" fillId="0" borderId="0" applyAlignment="1" pivotButton="0" quotePrefix="0" xfId="0">
      <alignment vertical="center" wrapText="1"/>
    </xf>
    <xf numFmtId="0" fontId="12" fillId="23" borderId="0" applyAlignment="1" pivotButton="0" quotePrefix="0" xfId="0">
      <alignment horizontal="center" vertical="center" wrapText="1"/>
    </xf>
    <xf numFmtId="0" fontId="12" fillId="25" borderId="0" applyAlignment="1" pivotButton="0" quotePrefix="0" xfId="0">
      <alignment horizontal="center" vertical="center" wrapText="1"/>
    </xf>
    <xf numFmtId="0" fontId="12" fillId="27" borderId="0" applyAlignment="1" pivotButton="0" quotePrefix="0" xfId="0">
      <alignment vertical="center" wrapText="1"/>
    </xf>
    <xf numFmtId="0" fontId="15" fillId="26" borderId="0" applyAlignment="1" pivotButton="0" quotePrefix="0" xfId="0">
      <alignment horizontal="center" vertical="center" wrapText="1"/>
    </xf>
    <xf numFmtId="0" fontId="12" fillId="26" borderId="0" applyAlignment="1" pivotButton="0" quotePrefix="0" xfId="0">
      <alignment horizontal="center" vertical="center" wrapText="1"/>
    </xf>
    <xf numFmtId="0" fontId="12" fillId="28" borderId="0" applyAlignment="1" pivotButton="0" quotePrefix="0" xfId="0">
      <alignment horizontal="center" vertical="center" wrapText="1"/>
    </xf>
    <xf numFmtId="0" fontId="12" fillId="29" borderId="0" applyAlignment="1" pivotButton="0" quotePrefix="0" xfId="0">
      <alignment horizontal="center" vertical="center" wrapText="1"/>
    </xf>
    <xf numFmtId="0" fontId="12" fillId="30" borderId="0" applyAlignment="1" pivotButton="0" quotePrefix="0" xfId="0">
      <alignment horizontal="center" vertical="center" wrapText="1"/>
    </xf>
    <xf numFmtId="0" fontId="12" fillId="31" borderId="0" applyAlignment="1" pivotButton="0" quotePrefix="0" xfId="0">
      <alignment horizontal="center" vertical="center" wrapText="1"/>
    </xf>
    <xf numFmtId="0" fontId="12" fillId="24" borderId="0" applyAlignment="1" pivotButton="0" quotePrefix="0" xfId="0">
      <alignment vertical="center" wrapText="1"/>
    </xf>
    <xf numFmtId="0" fontId="11" fillId="2" borderId="0" pivotButton="0" quotePrefix="0" xfId="0"/>
    <xf numFmtId="0" fontId="0" fillId="0" borderId="0" applyAlignment="1" pivotButton="0" quotePrefix="0" xfId="0">
      <alignment vertical="top" wrapText="1"/>
    </xf>
    <xf numFmtId="0" fontId="0" fillId="32" borderId="0" applyAlignment="1" pivotButton="0" quotePrefix="0" xfId="0">
      <alignment vertical="top" wrapText="1"/>
    </xf>
    <xf numFmtId="0" fontId="0" fillId="33" borderId="0" applyAlignment="1" pivotButton="0" quotePrefix="0" xfId="0">
      <alignment vertical="top" wrapText="1"/>
    </xf>
  </cellXfs>
  <cellStyles count="1">
    <cellStyle name="Normal" xfId="0" builtinId="0" hidden="0"/>
  </cellStyles>
  <dxfs count="10">
    <dxf>
      <font>
        <color rgb="00757575"/>
      </font>
      <fill>
        <patternFill patternType="solid">
          <fgColor rgb="00E8F5E9"/>
        </patternFill>
      </fill>
    </dxf>
    <dxf>
      <font>
        <b val="1"/>
        <color rgb="00B71C1C"/>
      </font>
      <fill>
        <patternFill patternType="solid">
          <fgColor rgb="00FFCDD2"/>
        </patternFill>
      </fill>
    </dxf>
    <dxf>
      <font>
        <b val="1"/>
        <color rgb="0033691E"/>
      </font>
      <fill>
        <patternFill patternType="solid">
          <fgColor rgb="00FFF9C4"/>
        </patternFill>
      </fill>
    </dxf>
    <dxf>
      <font>
        <b val="1"/>
        <color rgb="00E65100"/>
      </font>
      <fill>
        <patternFill patternType="solid">
          <fgColor rgb="00FFE0B2"/>
        </patternFill>
      </fill>
    </dxf>
    <dxf>
      <font>
        <b val="1"/>
        <color rgb="001B5E20"/>
      </font>
      <fill>
        <patternFill patternType="solid">
          <fgColor rgb="00C8E6C9"/>
        </patternFill>
      </fill>
    </dxf>
    <dxf>
      <font>
        <color rgb="00546E7A"/>
      </font>
      <fill>
        <patternFill patternType="solid">
          <fgColor rgb="00ECEFF1"/>
        </patternFill>
      </fill>
    </dxf>
    <dxf>
      <border>
        <left style="thick">
          <color rgb="00F9A825"/>
        </left>
        <right style="thick">
          <color rgb="00F9A825"/>
        </right>
        <top style="thick">
          <color rgb="00F9A825"/>
        </top>
        <bottom style="thick">
          <color rgb="00F9A825"/>
        </bottom>
      </border>
    </dxf>
    <dxf>
      <font>
        <b val="1"/>
        <color rgb="009C0006"/>
      </font>
      <fill>
        <patternFill patternType="solid">
          <fgColor rgb="00FCE4D6"/>
          <bgColor rgb="00FCE4D6"/>
        </patternFill>
      </fill>
    </dxf>
    <dxf>
      <font>
        <color rgb="009C6500"/>
      </font>
      <fill>
        <patternFill patternType="solid">
          <fgColor rgb="00FFF2CC"/>
          <bgColor rgb="00FFF2CC"/>
        </patternFill>
      </fill>
    </dxf>
    <dxf>
      <font>
        <color rgb="00375623"/>
      </font>
      <fill>
        <patternFill patternType="solid">
          <fgColor rgb="00E2EFDA"/>
          <b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02-form-change-system.md" TargetMode="External" Id="rId1" /><Relationship Type="http://schemas.openxmlformats.org/officeDocument/2006/relationships/hyperlink" Target="03-skill-draft-system.md" TargetMode="External" Id="rId2" /><Relationship Type="http://schemas.openxmlformats.org/officeDocument/2006/relationships/hyperlink" Target="03-skill-draft-system.md" TargetMode="External" Id="rId3" /><Relationship Type="http://schemas.openxmlformats.org/officeDocument/2006/relationships/hyperlink" Target="../technical/enemy-system.md" TargetMode="External" Id="rId4" /><Relationship Type="http://schemas.openxmlformats.org/officeDocument/2006/relationships/hyperlink" Target="../technical/enemy-system.md" TargetMode="External" Id="rId5" /><Relationship Type="http://schemas.openxmlformats.org/officeDocument/2006/relationships/hyperlink" Target="../technical/stage-system.md" TargetMode="External" Id="rId6" /><Relationship Type="http://schemas.openxmlformats.org/officeDocument/2006/relationships/hyperlink" Target="../technical/meta-save.md" TargetMode="External" Id="rId7" /><Relationship Type="http://schemas.openxmlformats.org/officeDocument/2006/relationships/hyperlink" Target="00-concept.md" TargetMode="External" Id="rId8" /><Relationship Type="http://schemas.openxmlformats.org/officeDocument/2006/relationships/hyperlink" Target="../technical/feedback-system.md" TargetMode="External" Id="rId9" /><Relationship Type="http://schemas.openxmlformats.org/officeDocument/2006/relationships/hyperlink" Target="../technical/ui-framework.md" TargetMode="External" Id="rId10" /><Relationship Type="http://schemas.openxmlformats.org/officeDocument/2006/relationships/hyperlink" Target="07-completion-roadmap.md" TargetMode="External" Id="rId11" /></Relationships>
</file>

<file path=xl/worksheets/_rels/sheet5.xml.rels><Relationships xmlns="http://schemas.openxmlformats.org/package/2006/relationships"><Relationship Type="http://schemas.openxmlformats.org/officeDocument/2006/relationships/hyperlink" Target="02-form-change-system.md" TargetMode="External" Id="rId1" /><Relationship Type="http://schemas.openxmlformats.org/officeDocument/2006/relationships/hyperlink" Target="03-skill-draft-system.md" TargetMode="External" Id="rId2" /><Relationship Type="http://schemas.openxmlformats.org/officeDocument/2006/relationships/hyperlink" Target="03-skill-draft-system.md" TargetMode="External" Id="rId3" /><Relationship Type="http://schemas.openxmlformats.org/officeDocument/2006/relationships/hyperlink" Target="../technical/enemy-system.md" TargetMode="External" Id="rId4" /><Relationship Type="http://schemas.openxmlformats.org/officeDocument/2006/relationships/hyperlink" Target="../technical/enemy-system.md" TargetMode="External" Id="rId5" /><Relationship Type="http://schemas.openxmlformats.org/officeDocument/2006/relationships/hyperlink" Target="../technical/stage-system.md" TargetMode="External" Id="rId6" /><Relationship Type="http://schemas.openxmlformats.org/officeDocument/2006/relationships/hyperlink" Target="../technical/meta-save.md" TargetMode="External" Id="rId7" /><Relationship Type="http://schemas.openxmlformats.org/officeDocument/2006/relationships/hyperlink" Target="00-concept.md" TargetMode="External" Id="rId8" /><Relationship Type="http://schemas.openxmlformats.org/officeDocument/2006/relationships/hyperlink" Target="../technical/feedback-system.md" TargetMode="External" Id="rId9" /><Relationship Type="http://schemas.openxmlformats.org/officeDocument/2006/relationships/hyperlink" Target="../technical/ui-framework.md" TargetMode="External" Id="rId10" /><Relationship Type="http://schemas.openxmlformats.org/officeDocument/2006/relationships/hyperlink" Target="07-completion-roadmap.md" TargetMode="External" Id="rId11" /></Relationships>
</file>

<file path=xl/worksheets/sheet1.xml><?xml version="1.0" encoding="utf-8"?>
<worksheet xmlns="http://schemas.openxmlformats.org/spreadsheetml/2006/main">
  <sheetPr>
    <tabColor rgb="00263238"/>
    <outlinePr summaryBelow="1" summaryRight="1"/>
    <pageSetUpPr/>
  </sheetPr>
  <dimension ref="A1:L30"/>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9" customWidth="1" min="2" max="2"/>
    <col width="10" customWidth="1" min="3" max="3"/>
    <col width="12" customWidth="1" min="4" max="4"/>
    <col width="12" customWidth="1" min="5" max="5"/>
    <col width="12" customWidth="1" min="6" max="6"/>
    <col width="12" customWidth="1" min="7" max="7"/>
    <col width="12" customWidth="1" min="8" max="8"/>
    <col width="14" customWidth="1" min="9" max="9"/>
    <col width="14" customWidth="1" min="10" max="10"/>
    <col width="28" customWidth="1" min="11" max="11"/>
    <col width="16" customWidth="1" min="12" max="12"/>
  </cols>
  <sheetData>
    <row r="1" ht="12" customHeight="1">
      <c r="A1" s="79" t="n"/>
      <c r="B1" s="79" t="n"/>
      <c r="C1" s="79" t="n"/>
      <c r="D1" s="79" t="n"/>
      <c r="E1" s="79" t="n"/>
      <c r="F1" s="79" t="n"/>
      <c r="G1" s="79" t="n"/>
      <c r="H1" s="79" t="n"/>
      <c r="I1" s="79" t="n"/>
      <c r="J1" s="79" t="n"/>
      <c r="K1" s="79" t="n"/>
      <c r="L1" s="79" t="n"/>
    </row>
    <row r="2" ht="44" customHeight="1">
      <c r="A2" s="80" t="inlineStr">
        <is>
          <t>Abyss 경쟁력 목표 간트</t>
        </is>
      </c>
      <c r="B2" s="79" t="n"/>
      <c r="C2" s="79" t="n"/>
      <c r="D2" s="79" t="n"/>
      <c r="E2" s="79" t="n"/>
      <c r="F2" s="79" t="n"/>
      <c r="G2" s="79" t="n"/>
      <c r="H2" s="79" t="n"/>
      <c r="I2" s="79" t="n"/>
      <c r="J2" s="79" t="n"/>
      <c r="K2" s="79" t="n"/>
      <c r="L2" s="79" t="n"/>
    </row>
    <row r="3" ht="25" customHeight="1">
      <c r="A3" s="79" t="inlineStr">
        <is>
          <t>두 폼을 연결하는 전투와 형체에 남은 사람들의 이야기 | 기준 2026-09-26</t>
        </is>
      </c>
      <c r="B3" s="79" t="n"/>
      <c r="C3" s="79" t="n"/>
      <c r="D3" s="79" t="n"/>
      <c r="E3" s="79" t="n"/>
      <c r="F3" s="79" t="n"/>
      <c r="G3" s="79" t="n"/>
      <c r="H3" s="79" t="n"/>
      <c r="I3" s="79" t="n"/>
      <c r="J3" s="79" t="n"/>
      <c r="K3" s="79" t="n"/>
      <c r="L3" s="79" t="n"/>
    </row>
    <row r="4" ht="25" customHeight="1">
      <c r="A4" s="79" t="inlineStr">
        <is>
          <t>기간은 가용 시간 미확인 가안. 선행 조건 우선. P01에서 자원을 확인하고 PG2에서 일정을 다시 산정한다.</t>
        </is>
      </c>
      <c r="B4" s="79" t="n"/>
      <c r="C4" s="79" t="n"/>
      <c r="D4" s="79" t="n"/>
      <c r="E4" s="79" t="n"/>
      <c r="F4" s="79" t="n"/>
      <c r="G4" s="79" t="n"/>
      <c r="H4" s="79" t="n"/>
      <c r="I4" s="79" t="n"/>
      <c r="J4" s="79" t="n"/>
      <c r="K4" s="79" t="n"/>
      <c r="L4" s="79" t="n"/>
    </row>
    <row r="5" ht="25" customHeight="1">
      <c r="A5" s="79" t="inlineStr">
        <is>
          <t>목표 상세 G~I열 입력 → 결과 자동 반영. 파랑: 제작 / 보라: 사용자 관문. 기존 완료 내역은 뒤쪽 시트에 보존.</t>
        </is>
      </c>
      <c r="B5" s="79" t="n"/>
      <c r="C5" s="79" t="n"/>
      <c r="D5" s="79" t="n"/>
      <c r="E5" s="79" t="n"/>
      <c r="F5" s="79" t="n"/>
      <c r="G5" s="79" t="n"/>
      <c r="H5" s="79" t="n"/>
      <c r="I5" s="79" t="n"/>
      <c r="J5" s="79" t="n"/>
      <c r="K5" s="79" t="n"/>
      <c r="L5" s="79" t="n"/>
    </row>
    <row r="6" ht="34" customHeight="1">
      <c r="A6" s="81" t="inlineStr">
        <is>
          <t>ID</t>
        </is>
      </c>
      <c r="B6" s="81" t="inlineStr">
        <is>
          <t>플레이어 경험 목표</t>
        </is>
      </c>
      <c r="C6" s="81" t="inlineStr">
        <is>
          <t>우선순위</t>
        </is>
      </c>
      <c r="D6" s="81" t="inlineStr">
        <is>
          <t>2026 Q4</t>
        </is>
      </c>
      <c r="E6" s="81" t="inlineStr">
        <is>
          <t>2027 Q1</t>
        </is>
      </c>
      <c r="F6" s="81" t="inlineStr">
        <is>
          <t>2027 Q2</t>
        </is>
      </c>
      <c r="G6" s="81" t="inlineStr">
        <is>
          <t>2027 Q3</t>
        </is>
      </c>
      <c r="H6" s="81" t="inlineStr">
        <is>
          <t>2027 Q4</t>
        </is>
      </c>
      <c r="I6" s="81" t="inlineStr">
        <is>
          <t>2028 상반기</t>
        </is>
      </c>
      <c r="J6" s="81" t="inlineStr">
        <is>
          <t>2028 하반기</t>
        </is>
      </c>
      <c r="K6" s="81" t="inlineStr">
        <is>
          <t>선행 조건</t>
        </is>
      </c>
      <c r="L6" s="81" t="inlineStr">
        <is>
          <t>판정</t>
        </is>
      </c>
    </row>
    <row r="7" ht="44" customHeight="1">
      <c r="A7" s="82" t="inlineStr">
        <is>
          <t>P01</t>
        </is>
      </c>
      <c r="B7" s="82" t="inlineStr">
        <is>
          <t>대표 경험과 제작 범위 확정</t>
        </is>
      </c>
      <c r="C7" s="82" t="inlineStr">
        <is>
          <t>P0</t>
        </is>
      </c>
      <c r="D7" s="83" t="inlineStr">
        <is>
          <t>계획</t>
        </is>
      </c>
      <c r="E7" s="82" t="n"/>
      <c r="F7" s="82" t="n"/>
      <c r="G7" s="82" t="n"/>
      <c r="H7" s="82" t="n"/>
      <c r="I7" s="82" t="n"/>
      <c r="J7" s="82" t="n"/>
      <c r="K7" s="82" t="inlineStr">
        <is>
          <t>없음</t>
        </is>
      </c>
      <c r="L7" s="82">
        <f>'목표 상세'!J7</f>
        <v/>
      </c>
    </row>
    <row r="8" ht="44" customHeight="1">
      <c r="A8" s="82" t="inlineStr">
        <is>
          <t>P02</t>
        </is>
      </c>
      <c r="B8" s="82" t="inlineStr">
        <is>
          <t>스크롤 맵 A1~A4 연결</t>
        </is>
      </c>
      <c r="C8" s="82" t="inlineStr">
        <is>
          <t>P0</t>
        </is>
      </c>
      <c r="D8" s="83" t="inlineStr">
        <is>
          <t>계획</t>
        </is>
      </c>
      <c r="E8" s="82" t="n"/>
      <c r="F8" s="82" t="n"/>
      <c r="G8" s="82" t="n"/>
      <c r="H8" s="82" t="n"/>
      <c r="I8" s="82" t="n"/>
      <c r="J8" s="82" t="n"/>
      <c r="K8" s="82" t="inlineStr">
        <is>
          <t>P01</t>
        </is>
      </c>
      <c r="L8" s="82">
        <f>'목표 상세'!J8</f>
        <v/>
      </c>
    </row>
    <row r="9" ht="44" customHeight="1">
      <c r="A9" s="82" t="inlineStr">
        <is>
          <t>P03</t>
        </is>
      </c>
      <c r="B9" s="82" t="inlineStr">
        <is>
          <t>4폼의 전투 역할 구별</t>
        </is>
      </c>
      <c r="C9" s="82" t="inlineStr">
        <is>
          <t>P0</t>
        </is>
      </c>
      <c r="D9" s="83" t="inlineStr">
        <is>
          <t>계획</t>
        </is>
      </c>
      <c r="E9" s="82" t="n"/>
      <c r="F9" s="82" t="n"/>
      <c r="G9" s="82" t="n"/>
      <c r="H9" s="82" t="n"/>
      <c r="I9" s="82" t="n"/>
      <c r="J9" s="82" t="n"/>
      <c r="K9" s="82" t="inlineStr">
        <is>
          <t>P01</t>
        </is>
      </c>
      <c r="L9" s="82">
        <f>'목표 상세'!J9</f>
        <v/>
      </c>
    </row>
    <row r="10" ht="44" customHeight="1">
      <c r="A10" s="82" t="inlineStr">
        <is>
          <t>P04</t>
        </is>
      </c>
      <c r="B10" s="82" t="inlineStr">
        <is>
          <t>상황에 맞는 폼 교체</t>
        </is>
      </c>
      <c r="C10" s="82" t="inlineStr">
        <is>
          <t>P0</t>
        </is>
      </c>
      <c r="D10" s="83" t="inlineStr">
        <is>
          <t>계획</t>
        </is>
      </c>
      <c r="E10" s="82" t="n"/>
      <c r="F10" s="82" t="n"/>
      <c r="G10" s="82" t="n"/>
      <c r="H10" s="82" t="n"/>
      <c r="I10" s="82" t="n"/>
      <c r="J10" s="82" t="n"/>
      <c r="K10" s="82" t="inlineStr">
        <is>
          <t>P03</t>
        </is>
      </c>
      <c r="L10" s="82">
        <f>'목표 상세'!J10</f>
        <v/>
      </c>
    </row>
    <row r="11" ht="44" customHeight="1">
      <c r="A11" s="82" t="inlineStr">
        <is>
          <t>P05</t>
        </is>
      </c>
      <c r="B11" s="82" t="inlineStr">
        <is>
          <t>행동이 다른 빌드 3종</t>
        </is>
      </c>
      <c r="C11" s="82" t="inlineStr">
        <is>
          <t>P0</t>
        </is>
      </c>
      <c r="D11" s="83" t="inlineStr">
        <is>
          <t>계획</t>
        </is>
      </c>
      <c r="E11" s="84" t="inlineStr">
        <is>
          <t>계획</t>
        </is>
      </c>
      <c r="F11" s="82" t="n"/>
      <c r="G11" s="82" t="n"/>
      <c r="H11" s="82" t="n"/>
      <c r="I11" s="82" t="n"/>
      <c r="J11" s="82" t="n"/>
      <c r="K11" s="82" t="inlineStr">
        <is>
          <t>P03, P04</t>
        </is>
      </c>
      <c r="L11" s="82">
        <f>'목표 상세'!J11</f>
        <v/>
      </c>
    </row>
    <row r="12" ht="44" customHeight="1">
      <c r="A12" s="82" t="inlineStr">
        <is>
          <t>P06</t>
        </is>
      </c>
      <c r="B12" s="82" t="inlineStr">
        <is>
          <t>두 폼을 성장시키는 드래프트</t>
        </is>
      </c>
      <c r="C12" s="82" t="inlineStr">
        <is>
          <t>P0</t>
        </is>
      </c>
      <c r="D12" s="83" t="inlineStr">
        <is>
          <t>계획</t>
        </is>
      </c>
      <c r="E12" s="84" t="inlineStr">
        <is>
          <t>계획</t>
        </is>
      </c>
      <c r="F12" s="82" t="n"/>
      <c r="G12" s="82" t="n"/>
      <c r="H12" s="82" t="n"/>
      <c r="I12" s="82" t="n"/>
      <c r="J12" s="82" t="n"/>
      <c r="K12" s="82" t="inlineStr">
        <is>
          <t>P04</t>
        </is>
      </c>
      <c r="L12" s="82">
        <f>'목표 상세'!J12</f>
        <v/>
      </c>
    </row>
    <row r="13" ht="44" customHeight="1">
      <c r="A13" s="82" t="inlineStr">
        <is>
          <t>P07</t>
        </is>
      </c>
      <c r="B13" s="82" t="inlineStr">
        <is>
          <t>지형과 적 조합의 전술 차이</t>
        </is>
      </c>
      <c r="C13" s="82" t="inlineStr">
        <is>
          <t>P0</t>
        </is>
      </c>
      <c r="D13" s="83" t="inlineStr">
        <is>
          <t>계획</t>
        </is>
      </c>
      <c r="E13" s="84" t="inlineStr">
        <is>
          <t>계획</t>
        </is>
      </c>
      <c r="F13" s="82" t="n"/>
      <c r="G13" s="82" t="n"/>
      <c r="H13" s="82" t="n"/>
      <c r="I13" s="82" t="n"/>
      <c r="J13" s="82" t="n"/>
      <c r="K13" s="82" t="inlineStr">
        <is>
          <t>P02, P03</t>
        </is>
      </c>
      <c r="L13" s="82">
        <f>'목표 상세'!J13</f>
        <v/>
      </c>
    </row>
    <row r="14" ht="44" customHeight="1">
      <c r="A14" s="82" t="inlineStr">
        <is>
          <t>P08</t>
        </is>
      </c>
      <c r="B14" s="82" t="inlineStr">
        <is>
          <t>대표 화면·전투 소리·보스 가독성</t>
        </is>
      </c>
      <c r="C14" s="82" t="inlineStr">
        <is>
          <t>P0</t>
        </is>
      </c>
      <c r="D14" s="83" t="inlineStr">
        <is>
          <t>계획</t>
        </is>
      </c>
      <c r="E14" s="84" t="inlineStr">
        <is>
          <t>계획</t>
        </is>
      </c>
      <c r="F14" s="82" t="n"/>
      <c r="G14" s="82" t="n"/>
      <c r="H14" s="82" t="n"/>
      <c r="I14" s="82" t="n"/>
      <c r="J14" s="82" t="n"/>
      <c r="K14" s="82" t="inlineStr">
        <is>
          <t>P02, P03</t>
        </is>
      </c>
      <c r="L14" s="82">
        <f>'목표 상세'!J14</f>
        <v/>
      </c>
    </row>
    <row r="15" ht="44" customHeight="1">
      <c r="A15" s="85" t="inlineStr">
        <is>
          <t>PG1</t>
        </is>
      </c>
      <c r="B15" s="85" t="inlineStr">
        <is>
          <t>대표 구간 재미 확인</t>
        </is>
      </c>
      <c r="C15" s="85" t="inlineStr">
        <is>
          <t>관문</t>
        </is>
      </c>
      <c r="D15" s="82" t="n"/>
      <c r="E15" s="86" t="inlineStr">
        <is>
          <t>판정</t>
        </is>
      </c>
      <c r="F15" s="82" t="n"/>
      <c r="G15" s="82" t="n"/>
      <c r="H15" s="82" t="n"/>
      <c r="I15" s="82" t="n"/>
      <c r="J15" s="82" t="n"/>
      <c r="K15" s="82" t="inlineStr">
        <is>
          <t>P01, P02, P03, P04, P05, P06, P07, P08</t>
        </is>
      </c>
      <c r="L15" s="82">
        <f>'목표 상세'!J15</f>
        <v/>
      </c>
    </row>
    <row r="16" ht="44" customHeight="1">
      <c r="A16" s="82" t="inlineStr">
        <is>
          <t>P09</t>
        </is>
      </c>
      <c r="B16" s="82" t="inlineStr">
        <is>
          <t>무기 보상의 역할 확정</t>
        </is>
      </c>
      <c r="C16" s="82" t="inlineStr">
        <is>
          <t>P1</t>
        </is>
      </c>
      <c r="D16" s="82" t="n"/>
      <c r="E16" s="84" t="inlineStr">
        <is>
          <t>계획</t>
        </is>
      </c>
      <c r="F16" s="82" t="n"/>
      <c r="G16" s="82" t="n"/>
      <c r="H16" s="82" t="n"/>
      <c r="I16" s="82" t="n"/>
      <c r="J16" s="82" t="n"/>
      <c r="K16" s="82" t="inlineStr">
        <is>
          <t>PG1</t>
        </is>
      </c>
      <c r="L16" s="82">
        <f>'목표 상세'!J16</f>
        <v/>
      </c>
    </row>
    <row r="17" ht="44" customHeight="1">
      <c r="A17" s="82" t="inlineStr">
        <is>
          <t>P10</t>
        </is>
      </c>
      <c r="B17" s="82" t="inlineStr">
        <is>
          <t>런 경제와 영구 성장 균형</t>
        </is>
      </c>
      <c r="C17" s="82" t="inlineStr">
        <is>
          <t>P1</t>
        </is>
      </c>
      <c r="D17" s="82" t="n"/>
      <c r="E17" s="84" t="inlineStr">
        <is>
          <t>계획</t>
        </is>
      </c>
      <c r="F17" s="82" t="n"/>
      <c r="G17" s="82" t="n"/>
      <c r="H17" s="82" t="n"/>
      <c r="I17" s="82" t="n"/>
      <c r="J17" s="82" t="n"/>
      <c r="K17" s="82" t="inlineStr">
        <is>
          <t>PG1, P09</t>
        </is>
      </c>
      <c r="L17" s="82">
        <f>'목표 상세'!J17</f>
        <v/>
      </c>
    </row>
    <row r="18" ht="44" customHeight="1">
      <c r="A18" s="82" t="inlineStr">
        <is>
          <t>P11</t>
        </is>
      </c>
      <c r="B18" s="82" t="inlineStr">
        <is>
          <t>폼 내력과 반복 서사 연결</t>
        </is>
      </c>
      <c r="C18" s="82" t="inlineStr">
        <is>
          <t>P1</t>
        </is>
      </c>
      <c r="D18" s="82" t="n"/>
      <c r="E18" s="84" t="inlineStr">
        <is>
          <t>계획</t>
        </is>
      </c>
      <c r="F18" s="82" t="n"/>
      <c r="G18" s="82" t="n"/>
      <c r="H18" s="82" t="n"/>
      <c r="I18" s="82" t="n"/>
      <c r="J18" s="82" t="n"/>
      <c r="K18" s="82" t="inlineStr">
        <is>
          <t>PG1</t>
        </is>
      </c>
      <c r="L18" s="82">
        <f>'목표 상세'!J18</f>
        <v/>
      </c>
    </row>
    <row r="19" ht="44" customHeight="1">
      <c r="A19" s="82" t="inlineStr">
        <is>
          <t>P12</t>
        </is>
      </c>
      <c r="B19" s="82" t="inlineStr">
        <is>
          <t>첫 플레이와 기본 접근성</t>
        </is>
      </c>
      <c r="C19" s="82" t="inlineStr">
        <is>
          <t>P1</t>
        </is>
      </c>
      <c r="D19" s="83" t="inlineStr">
        <is>
          <t>계획</t>
        </is>
      </c>
      <c r="E19" s="84" t="inlineStr">
        <is>
          <t>계획</t>
        </is>
      </c>
      <c r="F19" s="82" t="n"/>
      <c r="G19" s="82" t="n"/>
      <c r="H19" s="82" t="n"/>
      <c r="I19" s="82" t="n"/>
      <c r="J19" s="82" t="n"/>
      <c r="K19" s="82" t="inlineStr">
        <is>
          <t>P01</t>
        </is>
      </c>
      <c r="L19" s="82">
        <f>'목표 상세'!J19</f>
        <v/>
      </c>
    </row>
    <row r="20" ht="44" customHeight="1">
      <c r="A20" s="85" t="inlineStr">
        <is>
          <t>PG2</t>
        </is>
      </c>
      <c r="B20" s="85" t="inlineStr">
        <is>
          <t>반복 플레이와 제작성 확인</t>
        </is>
      </c>
      <c r="C20" s="85" t="inlineStr">
        <is>
          <t>관문</t>
        </is>
      </c>
      <c r="D20" s="82" t="n"/>
      <c r="E20" s="86" t="inlineStr">
        <is>
          <t>판정</t>
        </is>
      </c>
      <c r="F20" s="82" t="n"/>
      <c r="G20" s="82" t="n"/>
      <c r="H20" s="82" t="n"/>
      <c r="I20" s="82" t="n"/>
      <c r="J20" s="82" t="n"/>
      <c r="K20" s="82" t="inlineStr">
        <is>
          <t>PG1, P09, P10, P11, P12</t>
        </is>
      </c>
      <c r="L20" s="82">
        <f>'목표 상세'!J20</f>
        <v/>
      </c>
    </row>
    <row r="21" ht="44" customHeight="1">
      <c r="A21" s="82" t="inlineStr">
        <is>
          <t>P13</t>
        </is>
      </c>
      <c r="B21" s="82" t="inlineStr">
        <is>
          <t>차별점이 보이는 데모와 소개</t>
        </is>
      </c>
      <c r="C21" s="82" t="inlineStr">
        <is>
          <t>P1</t>
        </is>
      </c>
      <c r="D21" s="82" t="n"/>
      <c r="E21" s="82" t="n"/>
      <c r="F21" s="87" t="inlineStr">
        <is>
          <t>계획</t>
        </is>
      </c>
      <c r="G21" s="82" t="n"/>
      <c r="H21" s="82" t="n"/>
      <c r="I21" s="82" t="n"/>
      <c r="J21" s="82" t="n"/>
      <c r="K21" s="82" t="inlineStr">
        <is>
          <t>PG2</t>
        </is>
      </c>
      <c r="L21" s="82">
        <f>'목표 상세'!J21</f>
        <v/>
      </c>
    </row>
    <row r="22" ht="44" customHeight="1">
      <c r="A22" s="82" t="inlineStr">
        <is>
          <t>P14</t>
        </is>
      </c>
      <c r="B22" s="82" t="inlineStr">
        <is>
          <t>가격·공개 범위·시장 반응 기준</t>
        </is>
      </c>
      <c r="C22" s="82" t="inlineStr">
        <is>
          <t>P1</t>
        </is>
      </c>
      <c r="D22" s="82" t="n"/>
      <c r="E22" s="82" t="n"/>
      <c r="F22" s="87" t="inlineStr">
        <is>
          <t>계획</t>
        </is>
      </c>
      <c r="G22" s="82" t="n"/>
      <c r="H22" s="82" t="n"/>
      <c r="I22" s="82" t="n"/>
      <c r="J22" s="82" t="n"/>
      <c r="K22" s="82" t="inlineStr">
        <is>
          <t>PG2</t>
        </is>
      </c>
      <c r="L22" s="82">
        <f>'목표 상세'!J22</f>
        <v/>
      </c>
    </row>
    <row r="23" ht="44" customHeight="1">
      <c r="A23" s="85" t="inlineStr">
        <is>
          <t>PG3</t>
        </is>
      </c>
      <c r="B23" s="85" t="inlineStr">
        <is>
          <t>데모 공개 준비와 시장 신호</t>
        </is>
      </c>
      <c r="C23" s="85" t="inlineStr">
        <is>
          <t>관문</t>
        </is>
      </c>
      <c r="D23" s="82" t="n"/>
      <c r="E23" s="82" t="n"/>
      <c r="F23" s="86" t="inlineStr">
        <is>
          <t>판정</t>
        </is>
      </c>
      <c r="G23" s="82" t="n"/>
      <c r="H23" s="82" t="n"/>
      <c r="I23" s="82" t="n"/>
      <c r="J23" s="82" t="n"/>
      <c r="K23" s="82" t="inlineStr">
        <is>
          <t>P13, P14, P12</t>
        </is>
      </c>
      <c r="L23" s="82">
        <f>'목표 상세'!J23</f>
        <v/>
      </c>
    </row>
    <row r="24" ht="44" customHeight="1">
      <c r="A24" s="82" t="inlineStr">
        <is>
          <t>P15</t>
        </is>
      </c>
      <c r="B24" s="82" t="inlineStr">
        <is>
          <t>EA 콘텐츠 범위와 제작 여유</t>
        </is>
      </c>
      <c r="C24" s="82" t="inlineStr">
        <is>
          <t>P1</t>
        </is>
      </c>
      <c r="D24" s="82" t="n"/>
      <c r="E24" s="82" t="n"/>
      <c r="F24" s="87" t="inlineStr">
        <is>
          <t>계획</t>
        </is>
      </c>
      <c r="G24" s="88" t="inlineStr">
        <is>
          <t>계획</t>
        </is>
      </c>
      <c r="H24" s="82" t="n"/>
      <c r="I24" s="82" t="n"/>
      <c r="J24" s="82" t="n"/>
      <c r="K24" s="82" t="inlineStr">
        <is>
          <t>PG2</t>
        </is>
      </c>
      <c r="L24" s="82">
        <f>'목표 상세'!J24</f>
        <v/>
      </c>
    </row>
    <row r="25" ht="44" customHeight="1">
      <c r="A25" s="82" t="inlineStr">
        <is>
          <t>P16</t>
        </is>
      </c>
      <c r="B25" s="82" t="inlineStr">
        <is>
          <t>EA 저장·성능·입력·번역 품질</t>
        </is>
      </c>
      <c r="C25" s="82" t="inlineStr">
        <is>
          <t>P0</t>
        </is>
      </c>
      <c r="D25" s="82" t="n"/>
      <c r="E25" s="82" t="n"/>
      <c r="F25" s="87" t="inlineStr">
        <is>
          <t>계획</t>
        </is>
      </c>
      <c r="G25" s="88" t="inlineStr">
        <is>
          <t>계획</t>
        </is>
      </c>
      <c r="H25" s="82" t="n"/>
      <c r="I25" s="82" t="n"/>
      <c r="J25" s="82" t="n"/>
      <c r="K25" s="82" t="inlineStr">
        <is>
          <t>PG2, P12</t>
        </is>
      </c>
      <c r="L25" s="82">
        <f>'목표 상세'!J25</f>
        <v/>
      </c>
    </row>
    <row r="26" ht="44" customHeight="1">
      <c r="A26" s="85" t="inlineStr">
        <is>
          <t>PG4</t>
        </is>
      </c>
      <c r="B26" s="85" t="inlineStr">
        <is>
          <t>EA 출시 결정</t>
        </is>
      </c>
      <c r="C26" s="85" t="inlineStr">
        <is>
          <t>관문</t>
        </is>
      </c>
      <c r="D26" s="82" t="n"/>
      <c r="E26" s="82" t="n"/>
      <c r="F26" s="82" t="n"/>
      <c r="G26" s="86" t="inlineStr">
        <is>
          <t>판정</t>
        </is>
      </c>
      <c r="H26" s="82" t="n"/>
      <c r="I26" s="82" t="n"/>
      <c r="J26" s="82" t="n"/>
      <c r="K26" s="82" t="inlineStr">
        <is>
          <t>PG3, P15, P16</t>
        </is>
      </c>
      <c r="L26" s="82">
        <f>'목표 상세'!J26</f>
        <v/>
      </c>
    </row>
    <row r="27" ht="44" customHeight="1">
      <c r="A27" s="82" t="inlineStr">
        <is>
          <t>P17</t>
        </is>
      </c>
      <c r="B27" s="82" t="inlineStr">
        <is>
          <t>EA 운영과 첫 개선 주기</t>
        </is>
      </c>
      <c r="C27" s="82" t="inlineStr">
        <is>
          <t>P1</t>
        </is>
      </c>
      <c r="D27" s="82" t="n"/>
      <c r="E27" s="82" t="n"/>
      <c r="F27" s="82" t="n"/>
      <c r="G27" s="82" t="n"/>
      <c r="H27" s="89" t="inlineStr">
        <is>
          <t>계획</t>
        </is>
      </c>
      <c r="I27" s="82" t="n"/>
      <c r="J27" s="82" t="n"/>
      <c r="K27" s="82" t="inlineStr">
        <is>
          <t>PG4</t>
        </is>
      </c>
      <c r="L27" s="82">
        <f>'목표 상세'!J27</f>
        <v/>
      </c>
    </row>
    <row r="28" ht="44" customHeight="1">
      <c r="A28" s="82" t="inlineStr">
        <is>
          <t>P18</t>
        </is>
      </c>
      <c r="B28" s="82" t="inlineStr">
        <is>
          <t>후반 콘텐츠와 서사 회수</t>
        </is>
      </c>
      <c r="C28" s="82" t="inlineStr">
        <is>
          <t>P2</t>
        </is>
      </c>
      <c r="D28" s="82" t="n"/>
      <c r="E28" s="82" t="n"/>
      <c r="F28" s="82" t="n"/>
      <c r="G28" s="82" t="n"/>
      <c r="H28" s="82" t="n"/>
      <c r="I28" s="90" t="inlineStr">
        <is>
          <t>계획</t>
        </is>
      </c>
      <c r="J28" s="91" t="inlineStr">
        <is>
          <t>계획</t>
        </is>
      </c>
      <c r="K28" s="82" t="inlineStr">
        <is>
          <t>P17</t>
        </is>
      </c>
      <c r="L28" s="82">
        <f>'목표 상세'!J28</f>
        <v/>
      </c>
    </row>
    <row r="29" ht="44" customHeight="1">
      <c r="A29" s="82" t="inlineStr">
        <is>
          <t>P19</t>
        </is>
      </c>
      <c r="B29" s="82" t="inlineStr">
        <is>
          <t>정식판 마무리와 지원 범위</t>
        </is>
      </c>
      <c r="C29" s="82" t="inlineStr">
        <is>
          <t>P1</t>
        </is>
      </c>
      <c r="D29" s="82" t="n"/>
      <c r="E29" s="82" t="n"/>
      <c r="F29" s="82" t="n"/>
      <c r="G29" s="82" t="n"/>
      <c r="H29" s="82" t="n"/>
      <c r="I29" s="82" t="n"/>
      <c r="J29" s="91" t="inlineStr">
        <is>
          <t>계획</t>
        </is>
      </c>
      <c r="K29" s="82" t="inlineStr">
        <is>
          <t>P18, P16</t>
        </is>
      </c>
      <c r="L29" s="82">
        <f>'목표 상세'!J29</f>
        <v/>
      </c>
    </row>
    <row r="30" ht="44" customHeight="1">
      <c r="A30" s="85" t="inlineStr">
        <is>
          <t>PG5</t>
        </is>
      </c>
      <c r="B30" s="85" t="inlineStr">
        <is>
          <t>v1.0 출시 결정</t>
        </is>
      </c>
      <c r="C30" s="85" t="inlineStr">
        <is>
          <t>관문</t>
        </is>
      </c>
      <c r="D30" s="82" t="n"/>
      <c r="E30" s="82" t="n"/>
      <c r="F30" s="82" t="n"/>
      <c r="G30" s="82" t="n"/>
      <c r="H30" s="82" t="n"/>
      <c r="I30" s="82" t="n"/>
      <c r="J30" s="86" t="inlineStr">
        <is>
          <t>판정</t>
        </is>
      </c>
      <c r="K30" s="82" t="inlineStr">
        <is>
          <t>P19</t>
        </is>
      </c>
      <c r="L30" s="82">
        <f>'목표 상세'!J30</f>
        <v/>
      </c>
    </row>
  </sheetData>
  <conditionalFormatting sqref="L7:L30">
    <cfRule type="containsText" priority="1" operator="containsText" dxfId="7" text="보완 필요">
      <formula>NOT(ISERROR(SEARCH("보완 필요",L7)))</formula>
    </cfRule>
    <cfRule type="containsText" priority="2" operator="containsText" dxfId="8" text="선행 미통과">
      <formula>NOT(ISERROR(SEARCH("선행 미통과",L7)))</formula>
    </cfRule>
    <cfRule type="cellIs" priority="3" operator="equal" dxfId="9">
      <formula>"통과"</formula>
    </cfRule>
  </conditionalFormatting>
  <pageMargins left="0.75" right="0.75" top="1" bottom="1" header="0.5" footer="0.5"/>
</worksheet>
</file>

<file path=xl/worksheets/sheet2.xml><?xml version="1.0" encoding="utf-8"?>
<worksheet xmlns="http://schemas.openxmlformats.org/spreadsheetml/2006/main">
  <sheetPr>
    <tabColor rgb="00607D8B"/>
    <outlinePr summaryBelow="1" summaryRight="1"/>
    <pageSetUpPr/>
  </sheetPr>
  <dimension ref="A1:N30"/>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0" customWidth="1" min="2" max="2"/>
    <col width="38" customWidth="1" min="3" max="3"/>
    <col width="13" customWidth="1" min="4" max="4"/>
    <col width="13" customWidth="1" min="5" max="5"/>
    <col width="28" customWidth="1" min="6" max="6"/>
    <col width="16" customWidth="1" min="7" max="7"/>
    <col width="16" customWidth="1" min="8" max="8"/>
    <col width="38" customWidth="1" min="9" max="9"/>
    <col width="16" customWidth="1" min="10" max="10"/>
    <col width="67" customWidth="1" min="11" max="11"/>
    <col width="78" customWidth="1" min="12" max="12"/>
    <col width="54" customWidth="1" min="13" max="13"/>
    <col width="42" customWidth="1" min="14" max="14"/>
  </cols>
  <sheetData>
    <row r="1" ht="12" customHeight="1">
      <c r="A1" s="79" t="n"/>
      <c r="B1" s="79" t="n"/>
      <c r="C1" s="79" t="n"/>
      <c r="D1" s="79" t="n"/>
      <c r="E1" s="79" t="n"/>
      <c r="F1" s="79" t="n"/>
      <c r="G1" s="79" t="n"/>
      <c r="H1" s="79" t="n"/>
      <c r="I1" s="79" t="n"/>
      <c r="J1" s="79" t="n"/>
      <c r="K1" s="79" t="n"/>
      <c r="L1" s="79" t="n"/>
      <c r="M1" s="79" t="n"/>
      <c r="N1" s="79" t="n"/>
    </row>
    <row r="2" ht="44" customHeight="1">
      <c r="A2" s="80" t="inlineStr">
        <is>
          <t>목표별 완료 기준과 확인 근거</t>
        </is>
      </c>
      <c r="B2" s="79" t="n"/>
      <c r="C2" s="79" t="n"/>
      <c r="D2" s="79" t="n"/>
      <c r="E2" s="79" t="n"/>
      <c r="F2" s="79" t="n"/>
      <c r="G2" s="79" t="n"/>
      <c r="H2" s="79" t="n"/>
      <c r="I2" s="79" t="n"/>
      <c r="J2" s="79" t="n"/>
      <c r="K2" s="79" t="n"/>
      <c r="L2" s="79" t="n"/>
      <c r="M2" s="79" t="n"/>
      <c r="N2" s="79" t="n"/>
    </row>
    <row r="3" ht="25" customHeight="1">
      <c r="A3" s="79" t="inlineStr">
        <is>
          <t>노란색 G~I열만 진행 입력. 산출물 완료 + 사용자 통과 + 근거 기록 + 선행 목표 통과가 모두 있어야 최종 통과.</t>
        </is>
      </c>
      <c r="B3" s="79" t="n"/>
      <c r="C3" s="79" t="n"/>
      <c r="D3" s="79" t="n"/>
      <c r="E3" s="79" t="n"/>
      <c r="F3" s="79" t="n"/>
      <c r="G3" s="79" t="n"/>
      <c r="H3" s="79" t="n"/>
      <c r="I3" s="79" t="n"/>
      <c r="J3" s="79" t="n"/>
      <c r="K3" s="79" t="n"/>
      <c r="L3" s="79" t="n"/>
      <c r="M3" s="79" t="n"/>
      <c r="N3" s="79" t="n"/>
    </row>
    <row r="4" ht="25" customHeight="1">
      <c r="A4" s="79" t="inlineStr">
        <is>
          <t>사람 플레이·테스트·빌드·공개는 사용자 담당. 계획 작성은 구현 완료가 아니다. 기존 플레이테스트 보류 정책 유지.</t>
        </is>
      </c>
      <c r="B4" s="79" t="n"/>
      <c r="C4" s="79" t="n"/>
      <c r="D4" s="79" t="n"/>
      <c r="E4" s="79" t="n"/>
      <c r="F4" s="79" t="n"/>
      <c r="G4" s="79" t="n"/>
      <c r="H4" s="79" t="n"/>
      <c r="I4" s="79" t="n"/>
      <c r="J4" s="79" t="n"/>
      <c r="K4" s="79" t="n"/>
      <c r="L4" s="79" t="n"/>
      <c r="M4" s="79" t="n"/>
      <c r="N4" s="79" t="n"/>
    </row>
    <row r="5" ht="25" customHeight="1">
      <c r="A5" s="79" t="inlineStr">
        <is>
          <t>PG1~PG5는 신규 제품 판단 관문. 숫자는 내부 탐색 목표이며 기존 G1/G2/G4 판정 기준과 별도로 관리한다.</t>
        </is>
      </c>
      <c r="B5" s="79" t="n"/>
      <c r="C5" s="79" t="n"/>
      <c r="D5" s="79" t="n"/>
      <c r="E5" s="79" t="n"/>
      <c r="F5" s="79" t="n"/>
      <c r="G5" s="79" t="n"/>
      <c r="H5" s="79" t="n"/>
      <c r="I5" s="79" t="n"/>
      <c r="J5" s="79" t="n"/>
      <c r="K5" s="79" t="n"/>
      <c r="L5" s="79" t="n"/>
      <c r="M5" s="79" t="n"/>
      <c r="N5" s="79" t="n"/>
    </row>
    <row r="6" ht="34" customHeight="1">
      <c r="A6" s="81" t="inlineStr">
        <is>
          <t>ID</t>
        </is>
      </c>
      <c r="B6" s="81" t="inlineStr">
        <is>
          <t>우선순위</t>
        </is>
      </c>
      <c r="C6" s="81" t="inlineStr">
        <is>
          <t>목표</t>
        </is>
      </c>
      <c r="D6" s="81" t="inlineStr">
        <is>
          <t>시작 가안</t>
        </is>
      </c>
      <c r="E6" s="81" t="inlineStr">
        <is>
          <t>종료 가안</t>
        </is>
      </c>
      <c r="F6" s="81" t="inlineStr">
        <is>
          <t>선행 목표</t>
        </is>
      </c>
      <c r="G6" s="81" t="inlineStr">
        <is>
          <t>산출물 상태</t>
        </is>
      </c>
      <c r="H6" s="81" t="inlineStr">
        <is>
          <t>사용자 판정</t>
        </is>
      </c>
      <c r="I6" s="81" t="inlineStr">
        <is>
          <t>확인 근거 / 기록 위치</t>
        </is>
      </c>
      <c r="J6" s="81" t="inlineStr">
        <is>
          <t>최종 판정</t>
        </is>
      </c>
      <c r="K6" s="81" t="inlineStr">
        <is>
          <t>만들 결과</t>
        </is>
      </c>
      <c r="L6" s="81" t="inlineStr">
        <is>
          <t>완료 기준</t>
        </is>
      </c>
      <c r="M6" s="81" t="inlineStr">
        <is>
          <t>미달 시 조치</t>
        </is>
      </c>
      <c r="N6" s="81" t="inlineStr">
        <is>
          <t>근거 문서 / 기존 작업</t>
        </is>
      </c>
    </row>
    <row r="7" ht="102" customHeight="1">
      <c r="A7" s="82" t="inlineStr">
        <is>
          <t>P01</t>
        </is>
      </c>
      <c r="B7" s="82" t="inlineStr">
        <is>
          <t>P0</t>
        </is>
      </c>
      <c r="C7" s="82" t="inlineStr">
        <is>
          <t>대표 경험과 제작 범위 확정</t>
        </is>
      </c>
      <c r="D7" s="82" t="inlineStr">
        <is>
          <t>2026 Q4</t>
        </is>
      </c>
      <c r="E7" s="82" t="inlineStr">
        <is>
          <t>2026 Q4</t>
        </is>
      </c>
      <c r="F7" s="82" t="inlineStr">
        <is>
          <t>없음</t>
        </is>
      </c>
      <c r="G7" s="92" t="inlineStr">
        <is>
          <t>미착수</t>
        </is>
      </c>
      <c r="H7" s="92" t="inlineStr">
        <is>
          <t>미검증</t>
        </is>
      </c>
      <c r="I7" s="92" t="n"/>
      <c r="J7" s="82">
        <f>IF(G7="보류","보류",IF(H7="미달","보완 필요",IF(AND(G7="산출물 완료",H7="통과",I7&lt;&gt;""),IF(TRUE,"통과","선행 미통과"),"미검증")))</f>
        <v/>
      </c>
      <c r="K7" s="82" t="inlineStr">
        <is>
          <t>두 폼을 연결해 싸우며 남겨진 사람들의 형체를 이어받는 경험. 기존 4폼·18스킬·Stage1을 대표 구간의 기본 범위로 삼는다.</t>
        </is>
      </c>
      <c r="L7" s="82" t="inlineStr">
        <is>
          <t>15~20분 대표 구간의 시작·보스·종료 범위, 핵심 고객, 제외 항목, 주당 제작 시간과 외주 예산을 기록한다. 기존 3스테이지는 보존한다.</t>
        </is>
      </c>
      <c r="M7" s="82" t="inlineStr">
        <is>
          <t>범위가 자원을 넘으면 신규 폼·스테이지 확장을 미룬다.</t>
        </is>
      </c>
      <c r="N7" s="82" t="inlineStr">
        <is>
          <t>00 콘셉트 / 08 콘텐츠 로드맵 / 현재 에셋</t>
        </is>
      </c>
    </row>
    <row r="8" ht="102" customHeight="1">
      <c r="A8" s="82" t="inlineStr">
        <is>
          <t>P02</t>
        </is>
      </c>
      <c r="B8" s="82" t="inlineStr">
        <is>
          <t>P0</t>
        </is>
      </c>
      <c r="C8" s="82" t="inlineStr">
        <is>
          <t>스크롤 맵 A1~A4 연결</t>
        </is>
      </c>
      <c r="D8" s="82" t="inlineStr">
        <is>
          <t>2026 Q4</t>
        </is>
      </c>
      <c r="E8" s="82" t="inlineStr">
        <is>
          <t>2026 Q4</t>
        </is>
      </c>
      <c r="F8" s="82" t="inlineStr">
        <is>
          <t>P01</t>
        </is>
      </c>
      <c r="G8" s="92" t="inlineStr">
        <is>
          <t>산출물 완료</t>
        </is>
      </c>
      <c r="H8" s="92" t="inlineStr">
        <is>
          <t>통과</t>
        </is>
      </c>
      <c r="I8" s="92" t="inlineStr">
        <is>
          <t>2026-10-02 사용자: 플레이했을 때 진행 흐름이 정상적으로 작동 중이라고 확인. AI 테스트/Unity 실행 없음. P01 선행 판정은 별도.</t>
        </is>
      </c>
      <c r="J8" s="82">
        <f>IF(G8="보류","보류",IF(H8="미달","보완 필요",IF(AND(G8="산출물 완료",H8="통과",I8&lt;&gt;""),IF(AND($J$7="통과"),"통과","선행 미통과"),"미검증")))</f>
        <v/>
      </c>
      <c r="K8" s="82" t="inlineStr">
        <is>
          <t>자유 이동, 배치 스폰, 조건부 추가 소환, 전멸 후 맵 끝 보상 문, 전환 페이드. 결계는 사용하지 않는다.</t>
        </is>
      </c>
      <c r="L8" s="82" t="inlineStr">
        <is>
          <t>Stage1 대표 경로에서 진입·교전·추가 소환·보상·다음 방·보스까지 막힘 없이 연결한다. 기존 아레나 방의 호환을 유지한다.</t>
        </is>
      </c>
      <c r="M8" s="82" t="inlineStr">
        <is>
          <t>진행 오류부터 수정하고 추가 방 제작을 멈춘다.</t>
        </is>
      </c>
      <c r="N8" s="82" t="inlineStr">
        <is>
          <t>17 스테이지·보스 연출 / 기존 스크롤 맵 행</t>
        </is>
      </c>
    </row>
    <row r="9" ht="102" customHeight="1">
      <c r="A9" s="82" t="inlineStr">
        <is>
          <t>P03</t>
        </is>
      </c>
      <c r="B9" s="82" t="inlineStr">
        <is>
          <t>P0</t>
        </is>
      </c>
      <c r="C9" s="82" t="inlineStr">
        <is>
          <t>4폼의 전투 역할 구별</t>
        </is>
      </c>
      <c r="D9" s="82" t="inlineStr">
        <is>
          <t>2026 Q4</t>
        </is>
      </c>
      <c r="E9" s="82" t="inlineStr">
        <is>
          <t>2026 Q4</t>
        </is>
      </c>
      <c r="F9" s="82" t="inlineStr">
        <is>
          <t>P01</t>
        </is>
      </c>
      <c r="G9" s="92" t="inlineStr">
        <is>
          <t>미착수</t>
        </is>
      </c>
      <c r="H9" s="92" t="inlineStr">
        <is>
          <t>미검증</t>
        </is>
      </c>
      <c r="I9" s="92" t="n"/>
      <c r="J9" s="82">
        <f>IF(G9="보류","보류",IF(H9="미달","보완 필요",IF(AND(G9="산출물 완료",H9="통과",I9&lt;&gt;""),IF(AND($J$7="통과"),"통과","선행 미통과"),"미검증")))</f>
        <v/>
      </c>
      <c r="K9" s="82" t="inlineStr">
        <is>
          <t>검사의 근접 압박, 방패의 방어·반격, 궁수와 투척사의 거리·타이밍 차이를 정의하고 구현한다.</t>
        </is>
      </c>
      <c r="L9" s="82" t="inlineStr">
        <is>
          <t>동일 교전에서 각 폼의 장점과 대가를 1개 이상 관찰한다. 궁수·투척사는 그림과 피해량 외에 사거리 운용·발사 방식·위험 중 하나 이상이 다르다.</t>
        </is>
      </c>
      <c r="M9" s="82" t="inlineStr">
        <is>
          <t>구별되지 않는 폼을 재설계하고 신규 폼을 추가하지 않는다.</t>
        </is>
      </c>
      <c r="N9" s="82" t="inlineStr">
        <is>
          <t>02 폼 / 15 원거리 / 16 가드 / FormData</t>
        </is>
      </c>
    </row>
    <row r="10" ht="102" customHeight="1">
      <c r="A10" s="82" t="inlineStr">
        <is>
          <t>P04</t>
        </is>
      </c>
      <c r="B10" s="82" t="inlineStr">
        <is>
          <t>P0</t>
        </is>
      </c>
      <c r="C10" s="82" t="inlineStr">
        <is>
          <t>상황에 맞는 폼 교체</t>
        </is>
      </c>
      <c r="D10" s="82" t="inlineStr">
        <is>
          <t>2026 Q4</t>
        </is>
      </c>
      <c r="E10" s="82" t="inlineStr">
        <is>
          <t>2026 Q4</t>
        </is>
      </c>
      <c r="F10" s="82" t="inlineStr">
        <is>
          <t>P03</t>
        </is>
      </c>
      <c r="G10" s="92" t="inlineStr">
        <is>
          <t>미착수</t>
        </is>
      </c>
      <c r="H10" s="92" t="inlineStr">
        <is>
          <t>미검증</t>
        </is>
      </c>
      <c r="I10" s="92" t="n"/>
      <c r="J10" s="82">
        <f>IF(G10="보류","보류",IF(H10="미달","보완 필요",IF(AND(G10="산출물 완료",H10="통과",I10&lt;&gt;""),IF(AND($J$9="통과"),"통과","선행 미통과"),"미검증")))</f>
        <v/>
      </c>
      <c r="K10" s="82" t="inlineStr">
        <is>
          <t>가드 후 진입, 거리 전환, 표식 소비 등 공통 연결 규칙 후보를 비교해 최대 2개만 시범 적용한다. 특정 후보는 아직 확정하지 않는다.</t>
        </is>
      </c>
      <c r="L10" s="82" t="inlineStr">
        <is>
          <t>두 폼 조합 2쌍 이상에서 서로 다른 교체 이유가 관찰된다. 고정 폼·무조건 쿨마다 교체·상황별 교체를 비교하고 단순 피해 보너스 반복 여부를 기록한다.</t>
        </is>
      </c>
      <c r="M10" s="82" t="inlineStr">
        <is>
          <t>효과를 더 붙이기 전에 연결 규칙과 적 배치를 수정한다.</t>
        </is>
      </c>
      <c r="N10" s="82" t="inlineStr">
        <is>
          <t>심연 충전 / FormController / 2026-09-26 분석</t>
        </is>
      </c>
    </row>
    <row r="11" ht="102" customHeight="1">
      <c r="A11" s="82" t="inlineStr">
        <is>
          <t>P05</t>
        </is>
      </c>
      <c r="B11" s="82" t="inlineStr">
        <is>
          <t>P0</t>
        </is>
      </c>
      <c r="C11" s="82" t="inlineStr">
        <is>
          <t>행동이 다른 빌드 3종</t>
        </is>
      </c>
      <c r="D11" s="82" t="inlineStr">
        <is>
          <t>2026 Q4</t>
        </is>
      </c>
      <c r="E11" s="82" t="inlineStr">
        <is>
          <t>2027 Q1</t>
        </is>
      </c>
      <c r="F11" s="82" t="inlineStr">
        <is>
          <t>P03, P04</t>
        </is>
      </c>
      <c r="G11" s="92" t="inlineStr">
        <is>
          <t>미착수</t>
        </is>
      </c>
      <c r="H11" s="92" t="inlineStr">
        <is>
          <t>미검증</t>
        </is>
      </c>
      <c r="I11" s="92" t="n"/>
      <c r="J11" s="82">
        <f>IF(G11="보류","보류",IF(H11="미달","보완 필요",IF(AND(G11="산출물 완료",H11="통과",I11&lt;&gt;""),IF(AND($J$9="통과",$J$10="통과"),"통과","선행 미통과"),"미검증")))</f>
        <v/>
      </c>
      <c r="K11" s="82" t="inlineStr">
        <is>
          <t>교체 공격·대시 잔상·가드 반격의 3빌드를 기존 스킬 중심으로 구성한다. 부족한 연결 스킬만 제한적으로 추가한다.</t>
        </is>
      </c>
      <c r="L11" s="82" t="inlineStr">
        <is>
          <t>같은 방에서 공격 순서·이동 경로·위험 감수 중 2가지 이상이 빌드별로 달라진다. 초반 선택 2~3회 안에 변화가 드러나는지 확인한다.</t>
        </is>
      </c>
      <c r="M11" s="82" t="inlineStr">
        <is>
          <t>스킬 총량 확대를 멈추고 선택의 효과와 설명을 수정한다.</t>
        </is>
      </c>
      <c r="N11" s="82" t="inlineStr">
        <is>
          <t>03 드래프트 / PlayerCharacter.Passives·Synergy</t>
        </is>
      </c>
    </row>
    <row r="12" ht="102" customHeight="1">
      <c r="A12" s="82" t="inlineStr">
        <is>
          <t>P06</t>
        </is>
      </c>
      <c r="B12" s="82" t="inlineStr">
        <is>
          <t>P0</t>
        </is>
      </c>
      <c r="C12" s="82" t="inlineStr">
        <is>
          <t>두 폼을 성장시키는 드래프트</t>
        </is>
      </c>
      <c r="D12" s="82" t="inlineStr">
        <is>
          <t>2026 Q4</t>
        </is>
      </c>
      <c r="E12" s="82" t="inlineStr">
        <is>
          <t>2027 Q1</t>
        </is>
      </c>
      <c r="F12" s="82" t="inlineStr">
        <is>
          <t>P04</t>
        </is>
      </c>
      <c r="G12" s="92" t="inlineStr">
        <is>
          <t>미착수</t>
        </is>
      </c>
      <c r="H12" s="92" t="inlineStr">
        <is>
          <t>미검증</t>
        </is>
      </c>
      <c r="I12" s="92" t="n"/>
      <c r="J12" s="82">
        <f>IF(G12="보류","보류",IF(H12="미달","보완 필요",IF(AND(G12="산출물 완료",H12="통과",I12&lt;&gt;""),IF(AND($J$10="통과"),"통과","선행 미통과"),"미검증")))</f>
        <v/>
      </c>
      <c r="K12" s="82" t="inlineStr">
        <is>
          <t>활성 폼 기준 현행 추첨과 보유 두 폼 기준 후보안을 비교한다. 시너지 가중치·교체 손실·공용 스킬 노출을 함께 다룬다.</t>
        </is>
      </c>
      <c r="L12" s="82" t="inlineStr">
        <is>
          <t>레벨업 직전 폼 전환이 성장의 필수 요령이 되지 않는다. 죽은 선택지·한 폼 쏠림을 제시/선택 로그와 관찰로 비교하고 채택 규칙을 남긴다.</t>
        </is>
      </c>
      <c r="M12" s="82" t="inlineStr">
        <is>
          <t>수치 조정만 반복하지 말고 추첨 대상과 정보 제공을 재검토한다.</t>
        </is>
      </c>
      <c r="N12" s="82" t="inlineStr">
        <is>
          <t>DraftWeightCalculator / draft_offered 계측</t>
        </is>
      </c>
    </row>
    <row r="13" ht="102" customHeight="1">
      <c r="A13" s="82" t="inlineStr">
        <is>
          <t>P07</t>
        </is>
      </c>
      <c r="B13" s="82" t="inlineStr">
        <is>
          <t>P0</t>
        </is>
      </c>
      <c r="C13" s="82" t="inlineStr">
        <is>
          <t>지형과 적 조합의 전술 차이</t>
        </is>
      </c>
      <c r="D13" s="82" t="inlineStr">
        <is>
          <t>2026 Q4</t>
        </is>
      </c>
      <c r="E13" s="82" t="inlineStr">
        <is>
          <t>2027 Q1</t>
        </is>
      </c>
      <c r="F13" s="82" t="inlineStr">
        <is>
          <t>P02, P03</t>
        </is>
      </c>
      <c r="G13" s="92" t="inlineStr">
        <is>
          <t>미착수</t>
        </is>
      </c>
      <c r="H13" s="92" t="inlineStr">
        <is>
          <t>미검증</t>
        </is>
      </c>
      <c r="I13" s="92" t="n"/>
      <c r="J13" s="82">
        <f>IF(G13="보류","보류",IF(H13="미달","보완 필요",IF(AND(G13="산출물 완료",H13="통과",I13&lt;&gt;""),IF(AND($J$8="통과",$J$9="통과"),"통과","선행 미통과"),"미검증")))</f>
        <v/>
      </c>
      <c r="K13" s="82" t="inlineStr">
        <is>
          <t>고저차·엄폐·원거리 압박을 활용한 대표 교전 3종. 잠복·천장·부유 적은 이 교전의 필요에 따라 선택 제작한다.</t>
        </is>
      </c>
      <c r="L13" s="82" t="inlineStr">
        <is>
          <t>3교전이 서로 다른 접근·우선 처치·퇴각 판단을 요구한다. 특정 폼 없이는 진행 불가한 배치를 피하고 공격 예고·안전 경로를 읽을 수 있다.</t>
        </is>
      </c>
      <c r="M13" s="82" t="inlineStr">
        <is>
          <t>적 종류를 늘리기 전에 배치와 예고를 바꾼다.</t>
        </is>
      </c>
      <c r="N13" s="82" t="inlineStr">
        <is>
          <t>17 스테이지 / 환경 활용형 적 3종 기존 행</t>
        </is>
      </c>
    </row>
    <row r="14" ht="102" customHeight="1">
      <c r="A14" s="82" t="inlineStr">
        <is>
          <t>P08</t>
        </is>
      </c>
      <c r="B14" s="82" t="inlineStr">
        <is>
          <t>P0</t>
        </is>
      </c>
      <c r="C14" s="82" t="inlineStr">
        <is>
          <t>대표 화면·전투 소리·보스 가독성</t>
        </is>
      </c>
      <c r="D14" s="82" t="inlineStr">
        <is>
          <t>2026 Q4</t>
        </is>
      </c>
      <c r="E14" s="82" t="inlineStr">
        <is>
          <t>2027 Q1</t>
        </is>
      </c>
      <c r="F14" s="82" t="inlineStr">
        <is>
          <t>P02, P03</t>
        </is>
      </c>
      <c r="G14" s="92" t="inlineStr">
        <is>
          <t>미착수</t>
        </is>
      </c>
      <c r="H14" s="92" t="inlineStr">
        <is>
          <t>미검증</t>
        </is>
      </c>
      <c r="I14" s="92" t="n"/>
      <c r="J14" s="82">
        <f>IF(G14="보류","보류",IF(H14="미달","보완 필요",IF(AND(G14="산출물 완료",H14="통과",I14&lt;&gt;""),IF(AND($J$8="통과",$J$9="통과"),"통과","선행 미통과"),"미검증")))</f>
        <v/>
      </c>
      <c r="K14" s="82" t="inlineStr">
        <is>
          <t>실제 해상도에서 캐릭터·배경·무기·판정의 화풍과 대비를 통일한다. 플레이어 피격·저스트 가드·교체·보스 예고의 소리를 구별한다.</t>
        </is>
      </c>
      <c r="L14" s="82" t="inlineStr">
        <is>
          <t>대표 구간 아트·핵심 시나리오 준비를 사용자 확인한다. 보스 예고→발동→회복이 보이고 시너지 효과가 예고를 가리지 않는다. 음소거/소리 켬 모두 관찰한다.</t>
        </is>
      </c>
      <c r="M14" s="82" t="inlineStr">
        <is>
          <t>이펙트와 장식을 줄여 정보 전달부터 복구한다.</t>
        </is>
      </c>
      <c r="N14" s="82" t="inlineStr">
        <is>
          <t>아트 바이블 / BossPresenter / wave2 사운드 잔여</t>
        </is>
      </c>
    </row>
    <row r="15" ht="118" customHeight="1">
      <c r="A15" s="85" t="inlineStr">
        <is>
          <t>PG1</t>
        </is>
      </c>
      <c r="B15" s="85" t="inlineStr">
        <is>
          <t>관문</t>
        </is>
      </c>
      <c r="C15" s="85" t="inlineStr">
        <is>
          <t>대표 구간 재미 확인</t>
        </is>
      </c>
      <c r="D15" s="85" t="inlineStr">
        <is>
          <t>2027 Q1</t>
        </is>
      </c>
      <c r="E15" s="85" t="inlineStr">
        <is>
          <t>2027 Q1</t>
        </is>
      </c>
      <c r="F15" s="85" t="inlineStr">
        <is>
          <t>P01, P02, P03, P04, P05, P06, P07, P08</t>
        </is>
      </c>
      <c r="G15" s="92" t="inlineStr">
        <is>
          <t>미착수</t>
        </is>
      </c>
      <c r="H15" s="92" t="inlineStr">
        <is>
          <t>미검증</t>
        </is>
      </c>
      <c r="I15" s="92" t="n"/>
      <c r="J15" s="82">
        <f>IF(G15="보류","보류",IF(H15="미달","보완 필요",IF(AND(G15="산출물 완료",H15="통과",I15&lt;&gt;""),IF(AND($J$7="통과",$J$8="통과",$J$9="통과",$J$10="통과",$J$11="통과",$J$12="통과",$J$13="통과",$J$14="통과"),"통과","선행 미통과"),"미검증")))</f>
        <v/>
      </c>
      <c r="K15" s="82" t="inlineStr">
        <is>
          <t>기존 플레이테스트 보류 정책을 유지한다. 대표 구간 아트·시나리오 준비 후 사용자가 테스트 재개를 결정한다.</t>
        </is>
      </c>
      <c r="L15" s="82" t="inlineStr">
        <is>
          <t>신규 장르 경험자 8명씩 2회 탐색 테스트. 각 회차 6/8 이상이 유도 없이 상황별 교체 이유를 설명하고, 5/8 이상이 시간이 제공된 자유 선택에서 재도전한다. 사망 원인 혼동 반복은 수정한다.</t>
        </is>
      </c>
      <c r="M15" s="82" t="inlineStr">
        <is>
          <t>대표 구간을 보완하고 새로운 참가자에게 재확인한다. 수치만 맞추려고 기준을 사후 변경하지 않는다.</t>
        </is>
      </c>
      <c r="N15" s="82" t="inlineStr">
        <is>
          <t>18 경쟁력 목표 §검증 / 기존 P-24 보류 정책</t>
        </is>
      </c>
    </row>
    <row r="16" ht="102" customHeight="1">
      <c r="A16" s="82" t="inlineStr">
        <is>
          <t>P09</t>
        </is>
      </c>
      <c r="B16" s="82" t="inlineStr">
        <is>
          <t>P1</t>
        </is>
      </c>
      <c r="C16" s="82" t="inlineStr">
        <is>
          <t>무기 보상의 역할 확정</t>
        </is>
      </c>
      <c r="D16" s="82" t="inlineStr">
        <is>
          <t>2027 Q1</t>
        </is>
      </c>
      <c r="E16" s="82" t="inlineStr">
        <is>
          <t>2027 Q1</t>
        </is>
      </c>
      <c r="F16" s="82" t="inlineStr">
        <is>
          <t>PG1</t>
        </is>
      </c>
      <c r="G16" s="92" t="inlineStr">
        <is>
          <t>미착수</t>
        </is>
      </c>
      <c r="H16" s="92" t="inlineStr">
        <is>
          <t>미검증</t>
        </is>
      </c>
      <c r="I16" s="92" t="n"/>
      <c r="J16" s="82">
        <f>IF(G16="보류","보류",IF(H16="미달","보완 필요",IF(AND(G16="산출물 완료",H16="통과",I16&lt;&gt;""),IF(AND($J$15="통과"),"통과","선행 미통과"),"미검증")))</f>
        <v/>
      </c>
      <c r="K16" s="82" t="inlineStr">
        <is>
          <t>현재 폼당 1무기의 강화 보상과 같은 폼 내 선택 후보를 비교한다. 동작은 폼이 소유한다는 기존 정책을 유지한다.</t>
        </is>
      </c>
      <c r="L16" s="82" t="inlineStr">
        <is>
          <t>강화 중심이면 구매·가격·보상 체감을 개선하고 독립 빌드 축으로 홍보하지 않는다. 선택형이면 대표 폼에서 조건부 효과와 대가가 다른 2종을 비교한 후 확장 여부를 결정한다.</t>
        </is>
      </c>
      <c r="M16" s="82" t="inlineStr">
        <is>
          <t>의미 없는 상위호환 무기 추가를 보류한다.</t>
        </is>
      </c>
      <c r="N16" s="82" t="inlineStr">
        <is>
          <t>14 무기 장비 / WeaponData / 무기 가격 밸런스 행</t>
        </is>
      </c>
    </row>
    <row r="17" ht="102" customHeight="1">
      <c r="A17" s="82" t="inlineStr">
        <is>
          <t>P10</t>
        </is>
      </c>
      <c r="B17" s="82" t="inlineStr">
        <is>
          <t>P1</t>
        </is>
      </c>
      <c r="C17" s="82" t="inlineStr">
        <is>
          <t>런 경제와 영구 성장 균형</t>
        </is>
      </c>
      <c r="D17" s="82" t="inlineStr">
        <is>
          <t>2027 Q1</t>
        </is>
      </c>
      <c r="E17" s="82" t="inlineStr">
        <is>
          <t>2027 Q1</t>
        </is>
      </c>
      <c r="F17" s="82" t="inlineStr">
        <is>
          <t>PG1, P09</t>
        </is>
      </c>
      <c r="G17" s="92" t="inlineStr">
        <is>
          <t>미착수</t>
        </is>
      </c>
      <c r="H17" s="92" t="inlineStr">
        <is>
          <t>미검증</t>
        </is>
      </c>
      <c r="I17" s="92" t="n"/>
      <c r="J17" s="82">
        <f>IF(G17="보류","보류",IF(H17="미달","보완 필요",IF(AND(G17="산출물 완료",H17="통과",I17&lt;&gt;""),IF(AND($J$15="통과",$J$16="통과"),"통과","선행 미통과"),"미검증")))</f>
        <v/>
      </c>
      <c r="K17" s="82" t="inlineStr">
        <is>
          <t>회복·무기·리롤·유물의 기회비용과 신규/성장 세이브 난이도를 정리한다.</t>
        </is>
      </c>
      <c r="L17" s="82" t="inlineStr">
        <is>
          <t>스킬 강제 파밍 없이 숙련으로 개선 가능하다. 상점에서 항상 같은 구매만 하는지, 손실 회복 불가 구간과 과도한 눈덩이가 있는지 비교한다. 수치는 관측 뒤 조정한다.</t>
        </is>
      </c>
      <c r="M17" s="82" t="inlineStr">
        <is>
          <t>보상량과 가격·성장 폭부터 조정하고 통화를 추가하지 않는다.</t>
        </is>
      </c>
      <c r="N17" s="82" t="inlineStr">
        <is>
          <t>RunConfig / MetaUpgrades / 기존 밸런스 시트 행</t>
        </is>
      </c>
    </row>
    <row r="18" ht="102" customHeight="1">
      <c r="A18" s="82" t="inlineStr">
        <is>
          <t>P11</t>
        </is>
      </c>
      <c r="B18" s="82" t="inlineStr">
        <is>
          <t>P1</t>
        </is>
      </c>
      <c r="C18" s="82" t="inlineStr">
        <is>
          <t>폼 내력과 반복 서사 연결</t>
        </is>
      </c>
      <c r="D18" s="82" t="inlineStr">
        <is>
          <t>2027 Q1</t>
        </is>
      </c>
      <c r="E18" s="82" t="inlineStr">
        <is>
          <t>2027 Q1</t>
        </is>
      </c>
      <c r="F18" s="82" t="inlineStr">
        <is>
          <t>PG1</t>
        </is>
      </c>
      <c r="G18" s="92" t="inlineStr">
        <is>
          <t>미착수</t>
        </is>
      </c>
      <c r="H18" s="92" t="inlineStr">
        <is>
          <t>미검증</t>
        </is>
      </c>
      <c r="I18" s="92" t="n"/>
      <c r="J18" s="82">
        <f>IF(G18="보류","보류",IF(H18="미달","보완 필요",IF(AND(G18="산출물 완료",H18="통과",I18&lt;&gt;""),IF(AND($J$15="통과"),"통과","선행 미통과"),"미검증")))</f>
        <v/>
      </c>
      <c r="K18" s="82" t="inlineStr">
        <is>
          <t>각인사 내력, 짧은 환경 흔적, 보스 대사를 대표 경로에 연결한다. 전면 반응형 대사 시스템은 범위 밖이다.</t>
        </is>
      </c>
      <c r="L18" s="82" t="inlineStr">
        <is>
          <t>소설을 읽지 않은 사용자가 현재 목적과 폼에 남은 인물 1명을 자신의 말로 설명한다. 대화 건너뛰기로 진행이 막히지 않고 반복 텍스트가 전투 리듬을 끊지 않는다.</t>
        </is>
      </c>
      <c r="M18" s="82" t="inlineStr">
        <is>
          <t>세계관 설명을 늘리기 전에 목적과 인물 노출 위치를 수정한다.</t>
        </is>
      </c>
      <c r="N18" s="82" t="inlineStr">
        <is>
          <t>10 서사 / 11 각인사 / 12 프롤로그·엔딩</t>
        </is>
      </c>
    </row>
    <row r="19" ht="102" customHeight="1">
      <c r="A19" s="82" t="inlineStr">
        <is>
          <t>P12</t>
        </is>
      </c>
      <c r="B19" s="82" t="inlineStr">
        <is>
          <t>P1</t>
        </is>
      </c>
      <c r="C19" s="82" t="inlineStr">
        <is>
          <t>첫 플레이와 기본 접근성</t>
        </is>
      </c>
      <c r="D19" s="82" t="inlineStr">
        <is>
          <t>2026 Q4</t>
        </is>
      </c>
      <c r="E19" s="82" t="inlineStr">
        <is>
          <t>2027 Q1</t>
        </is>
      </c>
      <c r="F19" s="82" t="inlineStr">
        <is>
          <t>P01</t>
        </is>
      </c>
      <c r="G19" s="92" t="inlineStr">
        <is>
          <t>미착수</t>
        </is>
      </c>
      <c r="H19" s="92" t="inlineStr">
        <is>
          <t>미검증</t>
        </is>
      </c>
      <c r="I19" s="92" t="n"/>
      <c r="J19" s="82">
        <f>IF(G19="보류","보류",IF(H19="미달","보완 필요",IF(AND(G19="산출물 완료",H19="통과",I19&lt;&gt;""),IF(AND($J$7="통과"),"통과","선행 미통과"),"미검증")))</f>
        <v/>
      </c>
      <c r="K19" s="82" t="inlineStr">
        <is>
          <t>이동·회피·교체·드래프트를 플레이로 익히는 도입. 키보드/패드 포커스, 기본 키 변경, 글자·대비·흔들림 옵션을 데모 전 범위로 당긴다.</t>
        </is>
      </c>
      <c r="L19" s="82" t="inlineStr">
        <is>
          <t>처음 접한 사용자가 구두 도움 없이 첫 전투와 첫 선택을 마친다. 핵심 흐름을 키보드/패드만으로 조작하고 필수 정보가 색만으로 구분되지 않는다.</t>
        </is>
      </c>
      <c r="M19" s="82" t="inlineStr">
        <is>
          <t>안내 문장을 늘리기 전에 조작·표시·학습 순서를 수정한다.</t>
        </is>
      </c>
      <c r="N19" s="82" t="inlineStr">
        <is>
          <t>기존 키 리바인딩·접근성 행 / UI 잔여</t>
        </is>
      </c>
    </row>
    <row r="20" ht="118" customHeight="1">
      <c r="A20" s="85" t="inlineStr">
        <is>
          <t>PG2</t>
        </is>
      </c>
      <c r="B20" s="85" t="inlineStr">
        <is>
          <t>관문</t>
        </is>
      </c>
      <c r="C20" s="85" t="inlineStr">
        <is>
          <t>반복 플레이와 제작성 확인</t>
        </is>
      </c>
      <c r="D20" s="85" t="inlineStr">
        <is>
          <t>2027 Q1</t>
        </is>
      </c>
      <c r="E20" s="85" t="inlineStr">
        <is>
          <t>2027 Q1</t>
        </is>
      </c>
      <c r="F20" s="85" t="inlineStr">
        <is>
          <t>PG1, P09, P10, P11, P12</t>
        </is>
      </c>
      <c r="G20" s="92" t="inlineStr">
        <is>
          <t>미착수</t>
        </is>
      </c>
      <c r="H20" s="92" t="inlineStr">
        <is>
          <t>미검증</t>
        </is>
      </c>
      <c r="I20" s="92" t="n"/>
      <c r="J20" s="82">
        <f>IF(G20="보류","보류",IF(H20="미달","보완 필요",IF(AND(G20="산출물 완료",H20="통과",I20&lt;&gt;""),IF(AND($J$15="통과",$J$16="통과",$J$17="통과",$J$18="통과",$J$19="통과"),"통과","선행 미통과"),"미검증")))</f>
        <v/>
      </c>
      <c r="K20" s="82" t="inlineStr">
        <is>
          <t>같은 8명 이상이 3런씩 플레이하고 빌드·경로·실패 학습을 비교한다. 대표 콘텐츠의 실제 제작 시간을 기록한다.</t>
        </is>
      </c>
      <c r="L20" s="82" t="inlineStr">
        <is>
          <t>6/8 이상이 3런 중 2개 이상의 다른 운용을 시도하고 차이를 설명한다. 반복 불만과 항상 고르는 선택을 기록한다. 신규 제작 단가와 수정 시간을 반영해 EA 범위를 다시 산정한다.</t>
        </is>
      </c>
      <c r="M20" s="82" t="inlineStr">
        <is>
          <t>소모 속도보다 새 콘텐츠 제작이 느리면 범위를 축소하고 기존 교전의 조합을 개선한다.</t>
        </is>
      </c>
      <c r="N20" s="82" t="inlineStr">
        <is>
          <t>18 경쟁력 목표 / 기존 외부 플레이테스트 행</t>
        </is>
      </c>
    </row>
    <row r="21" ht="102" customHeight="1">
      <c r="A21" s="82" t="inlineStr">
        <is>
          <t>P13</t>
        </is>
      </c>
      <c r="B21" s="82" t="inlineStr">
        <is>
          <t>P1</t>
        </is>
      </c>
      <c r="C21" s="82" t="inlineStr">
        <is>
          <t>차별점이 보이는 데모와 소개</t>
        </is>
      </c>
      <c r="D21" s="82" t="inlineStr">
        <is>
          <t>2027 Q2</t>
        </is>
      </c>
      <c r="E21" s="82" t="inlineStr">
        <is>
          <t>2027 Q2</t>
        </is>
      </c>
      <c r="F21" s="82" t="inlineStr">
        <is>
          <t>PG2</t>
        </is>
      </c>
      <c r="G21" s="92" t="inlineStr">
        <is>
          <t>미착수</t>
        </is>
      </c>
      <c r="H21" s="92" t="inlineStr">
        <is>
          <t>미검증</t>
        </is>
      </c>
      <c r="I21" s="92" t="n"/>
      <c r="J21" s="82">
        <f>IF(G21="보류","보류",IF(H21="미달","보완 필요",IF(AND(G21="산출물 완료",H21="통과",I21&lt;&gt;""),IF(AND($J$20="통과"),"통과","선행 미통과"),"미검증")))</f>
        <v/>
      </c>
      <c r="K21" s="82" t="inlineStr">
        <is>
          <t>15~20분 대표 데모와 실제 전투 30초 소개 영상. 두 폼 연결 장면·빌드 변화·인물 흔적을 보여준다.</t>
        </is>
      </c>
      <c r="L21" s="82" t="inlineStr">
        <is>
          <t>첫 노출 장르 경험자 10명 중 7명 이상이 유도 없이 폼을 연결하는 특징을 설명한다. 미구현 기능을 광고하지 않고 기존 경쟁작과 구별되는 장면을 1개 이상 회상한다.</t>
        </is>
      </c>
      <c r="M21" s="82" t="inlineStr">
        <is>
          <t>콘텐츠 수 광고를 늘리기 전에 보여줄 장면과 도입을 수정한다.</t>
        </is>
      </c>
      <c r="N21" s="82" t="inlineStr">
        <is>
          <t>00 콘셉트 / Steam 페이지 기존 행 / 18 경쟁력 목표</t>
        </is>
      </c>
    </row>
    <row r="22" ht="102" customHeight="1">
      <c r="A22" s="82" t="inlineStr">
        <is>
          <t>P14</t>
        </is>
      </c>
      <c r="B22" s="82" t="inlineStr">
        <is>
          <t>P1</t>
        </is>
      </c>
      <c r="C22" s="82" t="inlineStr">
        <is>
          <t>가격·공개 범위·시장 반응 기준</t>
        </is>
      </c>
      <c r="D22" s="82" t="inlineStr">
        <is>
          <t>2027 Q2</t>
        </is>
      </c>
      <c r="E22" s="82" t="inlineStr">
        <is>
          <t>2027 Q2</t>
        </is>
      </c>
      <c r="F22" s="82" t="inlineStr">
        <is>
          <t>PG2</t>
        </is>
      </c>
      <c r="G22" s="92" t="inlineStr">
        <is>
          <t>미착수</t>
        </is>
      </c>
      <c r="H22" s="92" t="inlineStr">
        <is>
          <t>미검증</t>
        </is>
      </c>
      <c r="I22" s="92" t="n"/>
      <c r="J22" s="82">
        <f>IF(G22="보류","보류",IF(H22="미달","보완 필요",IF(AND(G22="산출물 완료",H22="통과",I22&lt;&gt;""),IF(AND($J$20="통과"),"통과","선행 미통과"),"미검증")))</f>
        <v/>
      </c>
      <c r="K22" s="82" t="inlineStr">
        <is>
          <t>EA 가격 후보, 제공 범위, 개발 예산·남은 기간, 체험판 피드백 창구와 유입별 지표를 확정한다. 외부 공개는 사용자 실행 단계다.</t>
        </is>
      </c>
      <c r="L22" s="82" t="inlineStr">
        <is>
          <t>가격별 제공 가치와 비용 회수 가정을 기록한다. 방문·데모 시작·플레이·위시리스트를 혼합하지 않고 정의한다. 결과 확인 전에 테스트 기간·유입·표본·재검토 기준을 정한다.</t>
        </is>
      </c>
      <c r="M22" s="82" t="inlineStr">
        <is>
          <t>유입 부족과 제품 반응 부족을 구별하고 고정 판매량 목표만으로 출시하지 않는다.</t>
        </is>
      </c>
      <c r="N22" s="82" t="inlineStr">
        <is>
          <t>00 콘셉트 성공 기준 / 기존 Steam 페이지 행</t>
        </is>
      </c>
    </row>
    <row r="23" ht="118" customHeight="1">
      <c r="A23" s="85" t="inlineStr">
        <is>
          <t>PG3</t>
        </is>
      </c>
      <c r="B23" s="85" t="inlineStr">
        <is>
          <t>관문</t>
        </is>
      </c>
      <c r="C23" s="85" t="inlineStr">
        <is>
          <t>데모 공개 준비와 시장 신호</t>
        </is>
      </c>
      <c r="D23" s="85" t="inlineStr">
        <is>
          <t>2027 Q2</t>
        </is>
      </c>
      <c r="E23" s="85" t="inlineStr">
        <is>
          <t>2027 Q2</t>
        </is>
      </c>
      <c r="F23" s="85" t="inlineStr">
        <is>
          <t>P13, P14, P12</t>
        </is>
      </c>
      <c r="G23" s="92" t="inlineStr">
        <is>
          <t>미착수</t>
        </is>
      </c>
      <c r="H23" s="92" t="inlineStr">
        <is>
          <t>미검증</t>
        </is>
      </c>
      <c r="I23" s="92" t="n"/>
      <c r="J23" s="82">
        <f>IF(G23="보류","보류",IF(H23="미달","보완 필요",IF(AND(G23="산출물 완료",H23="통과",I23&lt;&gt;""),IF(AND($J$21="통과",$J$22="통과",$J$19="통과"),"통과","선행 미통과"),"미검증")))</f>
        <v/>
      </c>
      <c r="K23" s="82" t="inlineStr">
        <is>
          <t>사용자가 공개를 결정한 뒤 데모 피드백을 수집한다. 행사 일정·참가 조건은 신청 시점에 공식 정보로 다시 확인한다.</t>
        </is>
      </c>
      <c r="L23" s="82" t="inlineStr">
        <is>
          <t>P13의 차별점 전달 기준과 P14의 사전 정의 기준을 평가한다. 출시 진행 불가 오류가 없고 외부 사용자에게 기본 입력·언어 흐름이 작동한다. 노출 부족이면 미판정으로 남긴다.</t>
        </is>
      </c>
      <c r="M23" s="82" t="inlineStr">
        <is>
          <t>반응 근거가 없으면 신규 대량 제작과 출시 확정을 보류한다.</t>
        </is>
      </c>
      <c r="N23" s="82" t="inlineStr">
        <is>
          <t>Steam 페이지 / Next Fest 기존 행 / 18 경쟁력 목표</t>
        </is>
      </c>
    </row>
    <row r="24" ht="102" customHeight="1">
      <c r="A24" s="82" t="inlineStr">
        <is>
          <t>P15</t>
        </is>
      </c>
      <c r="B24" s="82" t="inlineStr">
        <is>
          <t>P1</t>
        </is>
      </c>
      <c r="C24" s="82" t="inlineStr">
        <is>
          <t>EA 콘텐츠 범위와 제작 여유</t>
        </is>
      </c>
      <c r="D24" s="82" t="inlineStr">
        <is>
          <t>2027 Q2</t>
        </is>
      </c>
      <c r="E24" s="82" t="inlineStr">
        <is>
          <t>2027 Q3</t>
        </is>
      </c>
      <c r="F24" s="82" t="inlineStr">
        <is>
          <t>PG2</t>
        </is>
      </c>
      <c r="G24" s="92" t="inlineStr">
        <is>
          <t>미착수</t>
        </is>
      </c>
      <c r="H24" s="92" t="inlineStr">
        <is>
          <t>미검증</t>
        </is>
      </c>
      <c r="I24" s="92" t="n"/>
      <c r="J24" s="82">
        <f>IF(G24="보류","보류",IF(H24="미달","보완 필요",IF(AND(G24="산출물 완료",H24="통과",I24&lt;&gt;""),IF(AND($J$20="통과"),"통과","선행 미통과"),"미검증")))</f>
        <v/>
      </c>
      <c r="K24" s="82" t="inlineStr">
        <is>
          <t>기존 3스테이지를 기본으로 품질을 맞춘다. 추가 2폼·Stage4~5·스킬 확대는 검증과 제작 여력에 따라 선택한다.</t>
        </is>
      </c>
      <c r="L24" s="82" t="inlineStr">
        <is>
          <t>각 추가 콘텐츠가 새 판단을 만드는 이유를 설명한다. 측정된 제작·수정 시간으로 남은 일정을 계산하고 가용 시간의 25%를 수정·QA 여유로 둔다. 80스킬을 출시 필수로 삼지 않는다.</t>
        </is>
      </c>
      <c r="M24" s="82" t="inlineStr">
        <is>
          <t>날짜에 맞춰 품질을 낮추지 말고 선택 콘텐츠를 미룬다.</t>
        </is>
      </c>
      <c r="N24" s="82" t="inlineStr">
        <is>
          <t>08 콘텐츠 수량 후보 / PG2 제작 시간</t>
        </is>
      </c>
    </row>
    <row r="25" ht="102" customHeight="1">
      <c r="A25" s="82" t="inlineStr">
        <is>
          <t>P16</t>
        </is>
      </c>
      <c r="B25" s="82" t="inlineStr">
        <is>
          <t>P0</t>
        </is>
      </c>
      <c r="C25" s="82" t="inlineStr">
        <is>
          <t>EA 저장·성능·입력·번역 품질</t>
        </is>
      </c>
      <c r="D25" s="82" t="inlineStr">
        <is>
          <t>2027 Q2</t>
        </is>
      </c>
      <c r="E25" s="82" t="inlineStr">
        <is>
          <t>2027 Q3</t>
        </is>
      </c>
      <c r="F25" s="82" t="inlineStr">
        <is>
          <t>PG2, P12</t>
        </is>
      </c>
      <c r="G25" s="92" t="inlineStr">
        <is>
          <t>미착수</t>
        </is>
      </c>
      <c r="H25" s="92" t="inlineStr">
        <is>
          <t>미검증</t>
        </is>
      </c>
      <c r="I25" s="92" t="n"/>
      <c r="J25" s="82">
        <f>IF(G25="보류","보류",IF(H25="미달","보완 필요",IF(AND(G25="산출물 완료",H25="통과",I25&lt;&gt;""),IF(AND($J$20="통과",$J$19="통과"),"통과","선행 미통과"),"미검증")))</f>
        <v/>
      </c>
      <c r="K25" s="82" t="inlineStr">
        <is>
          <t>최소 지원 PC·해상도·언어를 정하고 신규/기존 세이브·실패 복구·긴 런·패드·재시작·완주를 확인한다.</t>
        </is>
      </c>
      <c r="L25" s="82" t="inlineStr">
        <is>
          <t>저장 손실·진행 불가·충돌의 재현 미해결 건이 없다. 지정 최소 사양에서 60fps 목표와 프레임 지연을 측정한다. 핵심 콘텐츠 이름·설명과 보스 대사의 지원 언어 누락을 정리한다.</t>
        </is>
      </c>
      <c r="M25" s="82" t="inlineStr">
        <is>
          <t>공개 범위를 줄이거나 출시를 연기한다. 코드 존재만으로 통과 처리하지 않는다.</t>
        </is>
      </c>
      <c r="N25" s="82" t="inlineStr">
        <is>
          <t>저장·현지화 NEXT_TASKS / 기존 Steam Cloud·QA 행</t>
        </is>
      </c>
    </row>
    <row r="26" ht="118" customHeight="1">
      <c r="A26" s="85" t="inlineStr">
        <is>
          <t>PG4</t>
        </is>
      </c>
      <c r="B26" s="85" t="inlineStr">
        <is>
          <t>관문</t>
        </is>
      </c>
      <c r="C26" s="85" t="inlineStr">
        <is>
          <t>EA 출시 결정</t>
        </is>
      </c>
      <c r="D26" s="85" t="inlineStr">
        <is>
          <t>2027 Q3</t>
        </is>
      </c>
      <c r="E26" s="85" t="inlineStr">
        <is>
          <t>2027 Q3</t>
        </is>
      </c>
      <c r="F26" s="85" t="inlineStr">
        <is>
          <t>PG3, P15, P16</t>
        </is>
      </c>
      <c r="G26" s="92" t="inlineStr">
        <is>
          <t>미착수</t>
        </is>
      </c>
      <c r="H26" s="92" t="inlineStr">
        <is>
          <t>미검증</t>
        </is>
      </c>
      <c r="I26" s="92" t="n"/>
      <c r="J26" s="82">
        <f>IF(G26="보류","보류",IF(H26="미달","보완 필요",IF(AND(G26="산출물 완료",H26="통과",I26&lt;&gt;""),IF(AND($J$23="통과",$J$24="통과",$J$25="통과"),"통과","선행 미통과"),"미검증")))</f>
        <v/>
      </c>
      <c r="K26" s="82" t="inlineStr">
        <is>
          <t>기존 2027 Q3는 조건부 목표 창이다. 공개 범위·가격·알려진 한계·지원 계획을 사용자 확인 후 출시한다.</t>
        </is>
      </c>
      <c r="L26" s="82" t="inlineStr">
        <is>
          <t>선행 목표 통과, 공개 약속과 빌드 일치, 실제 시장 반응과 자금·일정 검토, 저장/진행 치명 오류 미해결 0건. 리뷰율·판매량은 출시 후 관측값이며 출시 전 통과 조건으로 쓰지 않는다.</t>
        </is>
      </c>
      <c r="M26" s="82" t="inlineStr">
        <is>
          <t>선택 콘텐츠를 줄이거나 출시 창을 재산정한다.</t>
        </is>
      </c>
      <c r="N26" s="82" t="inlineStr">
        <is>
          <t>기존 EA 출시 행 / 18 경쟁력 목표</t>
        </is>
      </c>
    </row>
    <row r="27" ht="102" customHeight="1">
      <c r="A27" s="82" t="inlineStr">
        <is>
          <t>P17</t>
        </is>
      </c>
      <c r="B27" s="82" t="inlineStr">
        <is>
          <t>P1</t>
        </is>
      </c>
      <c r="C27" s="82" t="inlineStr">
        <is>
          <t>EA 운영과 첫 개선 주기</t>
        </is>
      </c>
      <c r="D27" s="82" t="inlineStr">
        <is>
          <t>2027 Q4</t>
        </is>
      </c>
      <c r="E27" s="82" t="inlineStr">
        <is>
          <t>2027 Q4</t>
        </is>
      </c>
      <c r="F27" s="82" t="inlineStr">
        <is>
          <t>PG4</t>
        </is>
      </c>
      <c r="G27" s="92" t="inlineStr">
        <is>
          <t>미착수</t>
        </is>
      </c>
      <c r="H27" s="92" t="inlineStr">
        <is>
          <t>미검증</t>
        </is>
      </c>
      <c r="I27" s="92" t="n"/>
      <c r="J27" s="82">
        <f>IF(G27="보류","보류",IF(H27="미달","보완 필요",IF(AND(G27="산출물 완료",H27="통과",I27&lt;&gt;""),IF(AND($J$26="통과"),"통과","선행 미통과"),"미검증")))</f>
        <v/>
      </c>
      <c r="K27" s="82" t="inlineStr">
        <is>
          <t>리뷰·중단 구간·폼/스킬 선택·오류를 함께 보고 첫 패치 우선순위를 정한다.</t>
        </is>
      </c>
      <c r="L27" s="82" t="inlineStr">
        <is>
          <t>상위 반복 문제 3개에 대해 원인·변경·확인 결과를 남긴다. 패치 전후 빌드와 표본 조건을 구별한다. 30일 리텐션만으로 유료 싱글 게임의 성공을 판정하지 않는다.</t>
        </is>
      </c>
      <c r="M27" s="82" t="inlineStr">
        <is>
          <t>새 콘텐츠보다 진행·가독성·밸런스 문제를 먼저 수정한다.</t>
        </is>
      </c>
      <c r="N27" s="82" t="inlineStr">
        <is>
          <t>기존 1차 메이저 패치 행</t>
        </is>
      </c>
    </row>
    <row r="28" ht="102" customHeight="1">
      <c r="A28" s="82" t="inlineStr">
        <is>
          <t>P18</t>
        </is>
      </c>
      <c r="B28" s="82" t="inlineStr">
        <is>
          <t>P2</t>
        </is>
      </c>
      <c r="C28" s="82" t="inlineStr">
        <is>
          <t>후반 콘텐츠와 서사 회수</t>
        </is>
      </c>
      <c r="D28" s="82" t="inlineStr">
        <is>
          <t>2028 상반기</t>
        </is>
      </c>
      <c r="E28" s="82" t="inlineStr">
        <is>
          <t>2028 하반기</t>
        </is>
      </c>
      <c r="F28" s="82" t="inlineStr">
        <is>
          <t>P17</t>
        </is>
      </c>
      <c r="G28" s="92" t="inlineStr">
        <is>
          <t>미착수</t>
        </is>
      </c>
      <c r="H28" s="92" t="inlineStr">
        <is>
          <t>미검증</t>
        </is>
      </c>
      <c r="I28" s="92" t="n"/>
      <c r="J28" s="82">
        <f>IF(G28="보류","보류",IF(H28="미달","보완 필요",IF(AND(G28="산출물 완료",H28="통과",I28&lt;&gt;""),IF(AND($J$27="통과"),"통과","선행 미통과"),"미검증")))</f>
        <v/>
      </c>
      <c r="K28" s="82" t="inlineStr">
        <is>
          <t>남은 Act와 엔딩을 완성한다. 피의 서약·영혼 축·히든 폼은 추가 운용과 서사 회수 가치가 있을 때 제작한다.</t>
        </is>
      </c>
      <c r="L28" s="82" t="inlineStr">
        <is>
          <t>주인공의 귀환 목표와 각인사·기록자의 서사 약속을 게임 안에서 회수한다. 기존 10폼·150스킬·히든 모드는 상한 후보이며 전부 필수는 아니다.</t>
        </is>
      </c>
      <c r="M28" s="82" t="inlineStr">
        <is>
          <t>새 시스템을 추가하지 말고 기존 서사의 미회수와 후반 반복부터 고친다.</t>
        </is>
      </c>
      <c r="N28" s="82" t="inlineStr">
        <is>
          <t>10 서사 / 12 엔딩 / M4 콘텐츠 후보</t>
        </is>
      </c>
    </row>
    <row r="29" ht="102" customHeight="1">
      <c r="A29" s="82" t="inlineStr">
        <is>
          <t>P19</t>
        </is>
      </c>
      <c r="B29" s="82" t="inlineStr">
        <is>
          <t>P1</t>
        </is>
      </c>
      <c r="C29" s="82" t="inlineStr">
        <is>
          <t>정식판 마무리와 지원 범위</t>
        </is>
      </c>
      <c r="D29" s="82" t="inlineStr">
        <is>
          <t>2028 하반기</t>
        </is>
      </c>
      <c r="E29" s="82" t="inlineStr">
        <is>
          <t>2028 하반기</t>
        </is>
      </c>
      <c r="F29" s="82" t="inlineStr">
        <is>
          <t>P18, P16</t>
        </is>
      </c>
      <c r="G29" s="92" t="inlineStr">
        <is>
          <t>미착수</t>
        </is>
      </c>
      <c r="H29" s="92" t="inlineStr">
        <is>
          <t>미검증</t>
        </is>
      </c>
      <c r="I29" s="92" t="n"/>
      <c r="J29" s="82">
        <f>IF(G29="보류","보류",IF(H29="미달","보완 필요",IF(AND(G29="산출물 완료",H29="통과",I29&lt;&gt;""),IF(AND($J$28="통과",$J$25="통과"),"통과","선행 미통과"),"미검증")))</f>
        <v/>
      </c>
      <c r="K29" s="82" t="inlineStr">
        <is>
          <t>최종 난이도·언어·접근성·세이브 이전·전체 회귀를 마무리한다. 리더보드·콘솔·추가 보이스는 별도 비용 대비 가치로 판단한다.</t>
        </is>
      </c>
      <c r="L29" s="82" t="inlineStr">
        <is>
          <t>약속한 엔딩·콘텐츠가 완주 가능하고 EA 세이브 이전·지원 기기·언어별 핵심 흐름을 확인한다. 운영 및 수정 여유를 확보한다.</t>
        </is>
      </c>
      <c r="M29" s="82" t="inlineStr">
        <is>
          <t>부가 기능을 미루고 제품 마무리에 집중한다.</t>
        </is>
      </c>
      <c r="N29" s="82" t="inlineStr">
        <is>
          <t>기존 M4 QA·현지화·접근성·포팅 행</t>
        </is>
      </c>
    </row>
    <row r="30" ht="118" customHeight="1">
      <c r="A30" s="85" t="inlineStr">
        <is>
          <t>PG5</t>
        </is>
      </c>
      <c r="B30" s="85" t="inlineStr">
        <is>
          <t>관문</t>
        </is>
      </c>
      <c r="C30" s="85" t="inlineStr">
        <is>
          <t>v1.0 출시 결정</t>
        </is>
      </c>
      <c r="D30" s="85" t="inlineStr">
        <is>
          <t>2028 하반기</t>
        </is>
      </c>
      <c r="E30" s="85" t="inlineStr">
        <is>
          <t>2028 하반기</t>
        </is>
      </c>
      <c r="F30" s="85" t="inlineStr">
        <is>
          <t>P19</t>
        </is>
      </c>
      <c r="G30" s="92" t="inlineStr">
        <is>
          <t>미착수</t>
        </is>
      </c>
      <c r="H30" s="92" t="inlineStr">
        <is>
          <t>미검증</t>
        </is>
      </c>
      <c r="I30" s="92" t="n"/>
      <c r="J30" s="82">
        <f>IF(G30="보류","보류",IF(H30="미달","보완 필요",IF(AND(G30="산출물 완료",H30="통과",I30&lt;&gt;""),IF(AND($J$29="통과"),"통과","선행 미통과"),"미검증")))</f>
        <v/>
      </c>
      <c r="K30" s="82" t="inlineStr">
        <is>
          <t>기존 2028 Q4는 조건부 목표 창이다. 완성된 핵심 경험과 서사, 검증된 품질로 정식판을 판정한다.</t>
        </is>
      </c>
      <c r="L30" s="82" t="inlineStr">
        <is>
          <t>공개한 약속 이행, 엔딩 회수, 치명 오류 미해결 0건, 지원 계획 확보를 사용자 확인한다. 150스킬·판매 2만 장을 제품 완성의 대리 지표로 삼지 않는다.</t>
        </is>
      </c>
      <c r="M30" s="82" t="inlineStr">
        <is>
          <t>부가 콘텐츠를 연기하거나 출시 창을 조정한다.</t>
        </is>
      </c>
      <c r="N30" s="82" t="inlineStr">
        <is>
          <t>기존 v1.0 출시 행 / 18 경쟁력 목표</t>
        </is>
      </c>
    </row>
  </sheetData>
  <conditionalFormatting sqref="J7:J30">
    <cfRule type="containsText" priority="1" operator="containsText" dxfId="7" text="보완 필요">
      <formula>NOT(ISERROR(SEARCH("보완 필요",J7)))</formula>
    </cfRule>
    <cfRule type="containsText" priority="2" operator="containsText" dxfId="8" text="선행 미통과">
      <formula>NOT(ISERROR(SEARCH("선행 미통과",J7)))</formula>
    </cfRule>
    <cfRule type="cellIs" priority="3" operator="equal" dxfId="9">
      <formula>"통과"</formula>
    </cfRule>
  </conditionalFormatting>
  <dataValidations count="2">
    <dataValidation sqref="G7:G30" showDropDown="0" showInputMessage="0" showErrorMessage="0" allowBlank="1" type="list">
      <formula1>"미착수,진행 중,산출물 완료,보류"</formula1>
    </dataValidation>
    <dataValidation sqref="H7:H30" showDropDown="0" showInputMessage="0" showErrorMessage="0" allowBlank="1" type="list">
      <formula1>"미검증,통과,미달"</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7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2" customWidth="1" min="14" max="14"/>
    <col width="14" customWidth="1" min="15" max="15"/>
    <col width="13" customWidth="1" min="16" max="16"/>
    <col width="13" customWidth="1" min="17" max="17"/>
    <col width="12" customWidth="1" min="18" max="18"/>
  </cols>
  <sheetData>
    <row r="1" ht="22" customHeight="1">
      <c r="A1" s="1" t="inlineStr">
        <is>
          <t>콘텐츠 항목</t>
        </is>
      </c>
      <c r="B1" s="2" t="inlineStr">
        <is>
          <t>M1잔여</t>
        </is>
      </c>
      <c r="C1" s="3" t="inlineStr">
        <is>
          <t>M2-Q1</t>
        </is>
      </c>
      <c r="D1" s="4" t="inlineStr">
        <is>
          <t>M2-Q2</t>
        </is>
      </c>
      <c r="E1" s="5" t="inlineStr">
        <is>
          <t>M3-Q3</t>
        </is>
      </c>
      <c r="F1" s="6" t="inlineStr">
        <is>
          <t>M3-Q4</t>
        </is>
      </c>
      <c r="G1" s="7" t="inlineStr">
        <is>
          <t>M3-Q5</t>
        </is>
      </c>
      <c r="H1" s="6" t="inlineStr">
        <is>
          <t>M3-Q6</t>
        </is>
      </c>
      <c r="I1" s="8" t="inlineStr">
        <is>
          <t>M4-Q7</t>
        </is>
      </c>
      <c r="J1" s="8" t="inlineStr">
        <is>
          <t>M4-Q8</t>
        </is>
      </c>
      <c r="K1" s="9" t="inlineStr">
        <is>
          <t>M4-Q9</t>
        </is>
      </c>
      <c r="L1" s="10" t="inlineStr">
        <is>
          <t>M4-Q10</t>
        </is>
      </c>
      <c r="M1" s="11" t="inlineStr">
        <is>
          <t>작업자</t>
        </is>
      </c>
      <c r="N1" s="11" t="inlineStr">
        <is>
          <t>상태</t>
        </is>
      </c>
      <c r="O1" s="11" t="inlineStr">
        <is>
          <t>완료일시</t>
        </is>
      </c>
      <c r="P1" s="12" t="inlineStr">
        <is>
          <t>계획 종료일</t>
        </is>
      </c>
      <c r="Q1" s="12" t="inlineStr">
        <is>
          <t>진척 상태</t>
        </is>
      </c>
      <c r="R1" s="12" t="inlineStr">
        <is>
          <t>딜레이(일)</t>
        </is>
      </c>
    </row>
    <row r="2" ht="32" customHeight="1">
      <c r="A2" s="1" t="inlineStr">
        <is>
          <t>(범례)</t>
        </is>
      </c>
      <c r="B2" s="2" t="inlineStr">
        <is>
          <t>2026-06</t>
        </is>
      </c>
      <c r="C2" s="3" t="inlineStr">
        <is>
          <t>2026 Q3</t>
        </is>
      </c>
      <c r="D2" s="4" t="inlineStr">
        <is>
          <t>2026 Q4</t>
        </is>
      </c>
      <c r="E2" s="5" t="inlineStr">
        <is>
          <t>2027 Q1</t>
        </is>
      </c>
      <c r="F2" s="6" t="inlineStr">
        <is>
          <t>2027 Q2</t>
        </is>
      </c>
      <c r="G2" s="7" t="inlineStr">
        <is>
          <t>2027 Q3
EA 출시</t>
        </is>
      </c>
      <c r="H2" s="6" t="inlineStr">
        <is>
          <t>2027 Q4</t>
        </is>
      </c>
      <c r="I2" s="8" t="inlineStr">
        <is>
          <t>2028 Q1</t>
        </is>
      </c>
      <c r="J2" s="8" t="inlineStr">
        <is>
          <t>2028 Q2</t>
        </is>
      </c>
      <c r="K2" s="9" t="inlineStr">
        <is>
          <t>2028 Q3</t>
        </is>
      </c>
      <c r="L2" s="10" t="inlineStr">
        <is>
          <t>2028 Q4
v1.0 출시</t>
        </is>
      </c>
      <c r="M2" s="11" t="inlineStr"/>
      <c r="N2" s="11" t="inlineStr"/>
      <c r="O2" s="11" t="inlineStr"/>
      <c r="P2" s="12" t="inlineStr"/>
      <c r="Q2" s="12" t="inlineStr"/>
      <c r="R2" s="12" t="inlineStr"/>
    </row>
    <row r="3" ht="20" customHeight="1">
      <c r="A3" s="13" t="inlineStr">
        <is>
          <t>폼 (Forms) — 10종 목표 ↗ (문서 열기)</t>
        </is>
      </c>
    </row>
    <row r="4" ht="18" customHeight="1">
      <c r="A4" s="14" t="inlineStr">
        <is>
          <t>dark_blade — 암흑검사 (Warrior/fire)</t>
        </is>
      </c>
      <c r="B4" s="15" t="inlineStr">
        <is>
          <t>✓</t>
        </is>
      </c>
      <c r="C4" s="16" t="n"/>
      <c r="D4" s="16" t="n"/>
      <c r="E4" s="16" t="n"/>
      <c r="F4" s="16" t="n"/>
      <c r="G4" s="16" t="n"/>
      <c r="H4" s="16" t="n"/>
      <c r="I4" s="16" t="n"/>
      <c r="J4" s="16" t="n"/>
      <c r="K4" s="16" t="n"/>
      <c r="L4" s="16" t="n"/>
      <c r="M4" s="17">
        <f>_xlfn.XLOOKUP(A4,'작업관리'!B:B,'작업관리'!E:E,"")</f>
        <v/>
      </c>
      <c r="N4" s="17">
        <f>_xlfn.XLOOKUP(A4,'작업관리'!B:B,'작업관리'!F:F,"")</f>
        <v/>
      </c>
      <c r="O4" s="17">
        <f>_xlfn.XLOOKUP(A4,'작업관리'!B:B,'작업관리'!G:G,"")</f>
        <v/>
      </c>
      <c r="P4" s="18" t="n">
        <v>46203</v>
      </c>
      <c r="Q4" s="17">
        <f>IF(N4="완료","완료",IF(N4="보류","보류",IF(N4="진행 중",IF(P4&lt;TODAY(),"딜레이","진행중"),IF(P4&lt;TODAY(),"딜레이",IF(TODAY()&gt;=DATE(YEAR(P4),MONTH(P4)-2,1),"임박","예정")))))</f>
        <v/>
      </c>
      <c r="R4" s="19">
        <f>IF(OR(N4="완료",N4="보류"),"-",IF(P4&lt;TODAY(),TODAY()-P4,""))</f>
        <v/>
      </c>
    </row>
    <row r="5" ht="18" customHeight="1">
      <c r="A5" s="14" t="inlineStr">
        <is>
          <t>void_archer — 공허궁수 (Archer/abyss)</t>
        </is>
      </c>
      <c r="B5" s="15" t="inlineStr">
        <is>
          <t>✓</t>
        </is>
      </c>
      <c r="C5" s="16" t="n"/>
      <c r="D5" s="16" t="n"/>
      <c r="E5" s="16" t="n"/>
      <c r="F5" s="16" t="n"/>
      <c r="G5" s="16" t="n"/>
      <c r="H5" s="16" t="n"/>
      <c r="I5" s="16" t="n"/>
      <c r="J5" s="16" t="n"/>
      <c r="K5" s="16" t="n"/>
      <c r="L5" s="16" t="n"/>
      <c r="M5" s="17">
        <f>_xlfn.XLOOKUP(A5,'작업관리'!B:B,'작업관리'!E:E,"")</f>
        <v/>
      </c>
      <c r="N5" s="17">
        <f>_xlfn.XLOOKUP(A5,'작업관리'!B:B,'작업관리'!F:F,"")</f>
        <v/>
      </c>
      <c r="O5" s="17">
        <f>_xlfn.XLOOKUP(A5,'작업관리'!B:B,'작업관리'!G:G,"")</f>
        <v/>
      </c>
      <c r="P5" s="18" t="n">
        <v>46203</v>
      </c>
      <c r="Q5" s="17">
        <f>IF(N5="완료","완료",IF(N5="보류","보류",IF(N5="진행 중",IF(P5&lt;TODAY(),"딜레이","진행중"),IF(P5&lt;TODAY(),"딜레이",IF(TODAY()&gt;=DATE(YEAR(P5),MONTH(P5)-2,1),"임박","예정")))))</f>
        <v/>
      </c>
      <c r="R5" s="19">
        <f>IF(OR(N5="완료",N5="보류"),"-",IF(P5&lt;TODAY(),TODAY()-P5,""))</f>
        <v/>
      </c>
    </row>
    <row r="6" ht="18" customHeight="1">
      <c r="A6" s="14" t="inlineStr">
        <is>
          <t>ancient_shield — 고대 방패병 (Warrior/guard)</t>
        </is>
      </c>
      <c r="B6" s="16" t="n"/>
      <c r="C6" s="20" t="inlineStr">
        <is>
          <t>✓</t>
        </is>
      </c>
      <c r="D6" s="16" t="n"/>
      <c r="E6" s="16" t="n"/>
      <c r="F6" s="16" t="n"/>
      <c r="G6" s="16" t="n"/>
      <c r="H6" s="16" t="n"/>
      <c r="I6" s="16" t="n"/>
      <c r="J6" s="16" t="n"/>
      <c r="K6" s="16" t="n"/>
      <c r="L6" s="16" t="n"/>
      <c r="M6" s="17">
        <f>_xlfn.XLOOKUP(A6,'작업관리'!B:B,'작업관리'!E:E,"")</f>
        <v/>
      </c>
      <c r="N6" s="17">
        <f>_xlfn.XLOOKUP(A6,'작업관리'!B:B,'작업관리'!F:F,"")</f>
        <v/>
      </c>
      <c r="O6" s="17">
        <f>_xlfn.XLOOKUP(A6,'작업관리'!B:B,'작업관리'!G:G,"")</f>
        <v/>
      </c>
      <c r="P6" s="18" t="n">
        <v>46295</v>
      </c>
      <c r="Q6" s="17">
        <f>IF(N6="완료","완료",IF(N6="보류","보류",IF(N6="진행 중",IF(P6&lt;TODAY(),"딜레이","진행중"),IF(P6&lt;TODAY(),"딜레이",IF(TODAY()&gt;=DATE(YEAR(P6),MONTH(P6)-2,1),"임박","예정")))))</f>
        <v/>
      </c>
      <c r="R6" s="19">
        <f>IF(OR(N6="완료",N6="보류"),"-",IF(P6&lt;TODAY(),TODAY()-P6,""))</f>
        <v/>
      </c>
    </row>
    <row r="7" ht="18" customHeight="1">
      <c r="A7" s="14" t="inlineStr">
        <is>
          <t>void_thrower — 심연 투척사 (Shifter/abyss)</t>
        </is>
      </c>
      <c r="B7" s="16" t="n"/>
      <c r="C7" s="16" t="n"/>
      <c r="D7" s="21" t="inlineStr">
        <is>
          <t>✓</t>
        </is>
      </c>
      <c r="E7" s="16" t="n"/>
      <c r="F7" s="16" t="n"/>
      <c r="G7" s="16" t="n"/>
      <c r="H7" s="16" t="n"/>
      <c r="I7" s="16" t="n"/>
      <c r="J7" s="16" t="n"/>
      <c r="K7" s="16" t="n"/>
      <c r="L7" s="16" t="n"/>
      <c r="M7" s="17">
        <f>_xlfn.XLOOKUP(A7,'작업관리'!B:B,'작업관리'!E:E,"")</f>
        <v/>
      </c>
      <c r="N7" s="17">
        <f>_xlfn.XLOOKUP(A7,'작업관리'!B:B,'작업관리'!F:F,"")</f>
        <v/>
      </c>
      <c r="O7" s="17">
        <f>_xlfn.XLOOKUP(A7,'작업관리'!B:B,'작업관리'!G:G,"")</f>
        <v/>
      </c>
      <c r="P7" s="18" t="n">
        <v>46387</v>
      </c>
      <c r="Q7" s="17">
        <f>IF(N7="완료","완료",IF(N7="보류","보류",IF(N7="진행 중",IF(P7&lt;TODAY(),"딜레이","진행중"),IF(P7&lt;TODAY(),"딜레이",IF(TODAY()&gt;=DATE(YEAR(P7),MONTH(P7)-2,1),"임박","예정")))))</f>
        <v/>
      </c>
      <c r="R7" s="19">
        <f>IF(OR(N7="완료",N7="보류"),"-",IF(P7&lt;TODAY(),TODAY()-P7,""))</f>
        <v/>
      </c>
    </row>
    <row r="8" ht="18" customHeight="1">
      <c r="A8" s="14" t="inlineStr">
        <is>
          <t>frost_warden — 빙결 수호자 (Warrior/frost)</t>
        </is>
      </c>
      <c r="B8" s="16" t="n"/>
      <c r="C8" s="16" t="n"/>
      <c r="D8" s="16" t="n"/>
      <c r="E8" s="22" t="n"/>
      <c r="F8" s="16" t="n"/>
      <c r="G8" s="16" t="n"/>
      <c r="H8" s="16" t="n"/>
      <c r="I8" s="16" t="n"/>
      <c r="J8" s="16" t="n"/>
      <c r="K8" s="16" t="n"/>
      <c r="L8" s="16" t="n"/>
      <c r="M8" s="17">
        <f>_xlfn.XLOOKUP(A8,'작업관리'!B:B,'작업관리'!E:E,"")</f>
        <v/>
      </c>
      <c r="N8" s="17">
        <f>_xlfn.XLOOKUP(A8,'작업관리'!B:B,'작업관리'!F:F,"")</f>
        <v/>
      </c>
      <c r="O8" s="17">
        <f>_xlfn.XLOOKUP(A8,'작업관리'!B:B,'작업관리'!G:G,"")</f>
        <v/>
      </c>
      <c r="P8" s="18" t="n">
        <v>46477</v>
      </c>
      <c r="Q8" s="17">
        <f>IF(N8="완료","완료",IF(N8="보류","보류",IF(N8="진행 중",IF(P8&lt;TODAY(),"딜레이","진행중"),IF(P8&lt;TODAY(),"딜레이",IF(TODAY()&gt;=DATE(YEAR(P8),MONTH(P8)-2,1),"임박","예정")))))</f>
        <v/>
      </c>
      <c r="R8" s="19">
        <f>IF(OR(N8="완료",N8="보류"),"-",IF(P8&lt;TODAY(),TODAY()-P8,""))</f>
        <v/>
      </c>
    </row>
    <row r="9" ht="18" customHeight="1">
      <c r="A9" s="14" t="inlineStr">
        <is>
          <t>soul_dancer — 영혼 무희 (Shifter/abyss)</t>
        </is>
      </c>
      <c r="B9" s="16" t="n"/>
      <c r="C9" s="16" t="n"/>
      <c r="D9" s="16" t="n"/>
      <c r="E9" s="16" t="n"/>
      <c r="F9" s="23" t="n"/>
      <c r="G9" s="16" t="n"/>
      <c r="H9" s="16" t="n"/>
      <c r="I9" s="16" t="n"/>
      <c r="J9" s="16" t="n"/>
      <c r="K9" s="16" t="n"/>
      <c r="L9" s="16" t="n"/>
      <c r="M9" s="17">
        <f>_xlfn.XLOOKUP(A9,'작업관리'!B:B,'작업관리'!E:E,"")</f>
        <v/>
      </c>
      <c r="N9" s="17">
        <f>_xlfn.XLOOKUP(A9,'작업관리'!B:B,'작업관리'!F:F,"")</f>
        <v/>
      </c>
      <c r="O9" s="17">
        <f>_xlfn.XLOOKUP(A9,'작업관리'!B:B,'작업관리'!G:G,"")</f>
        <v/>
      </c>
      <c r="P9" s="18" t="n">
        <v>46568</v>
      </c>
      <c r="Q9" s="17">
        <f>IF(N9="완료","완료",IF(N9="보류","보류",IF(N9="진행 중",IF(P9&lt;TODAY(),"딜레이","진행중"),IF(P9&lt;TODAY(),"딜레이",IF(TODAY()&gt;=DATE(YEAR(P9),MONTH(P9)-2,1),"임박","예정")))))</f>
        <v/>
      </c>
      <c r="R9" s="19">
        <f>IF(OR(N9="완료",N9="보류"),"-",IF(P9&lt;TODAY(),TODAY()-P9,""))</f>
        <v/>
      </c>
    </row>
    <row r="10" ht="18" customHeight="1">
      <c r="A10" s="14" t="inlineStr">
        <is>
          <t>blood_reaver — 혈검 사신 (Warrior/blood_pact)</t>
        </is>
      </c>
      <c r="B10" s="16" t="n"/>
      <c r="C10" s="16" t="n"/>
      <c r="D10" s="16" t="n"/>
      <c r="E10" s="16" t="n"/>
      <c r="F10" s="16" t="n"/>
      <c r="G10" s="16" t="n"/>
      <c r="H10" s="16" t="n"/>
      <c r="I10" s="24" t="n"/>
      <c r="J10" s="16" t="n"/>
      <c r="K10" s="16" t="n"/>
      <c r="L10" s="16" t="n"/>
      <c r="M10" s="17">
        <f>_xlfn.XLOOKUP(A10,'작업관리'!B:B,'작업관리'!E:E,"")</f>
        <v/>
      </c>
      <c r="N10" s="17">
        <f>_xlfn.XLOOKUP(A10,'작업관리'!B:B,'작업관리'!F:F,"")</f>
        <v/>
      </c>
      <c r="O10" s="17">
        <f>_xlfn.XLOOKUP(A10,'작업관리'!B:B,'작업관리'!G:G,"")</f>
        <v/>
      </c>
      <c r="P10" s="18" t="n">
        <v>46843</v>
      </c>
      <c r="Q10" s="17">
        <f>IF(N10="완료","완료",IF(N10="보류","보류",IF(N10="진행 중",IF(P10&lt;TODAY(),"딜레이","진행중"),IF(P10&lt;TODAY(),"딜레이",IF(TODAY()&gt;=DATE(YEAR(P10),MONTH(P10)-2,1),"임박","예정")))))</f>
        <v/>
      </c>
      <c r="R10" s="19">
        <f>IF(OR(N10="완료",N10="보류"),"-",IF(P10&lt;TODAY(),TODAY()-P10,""))</f>
        <v/>
      </c>
    </row>
    <row r="11" ht="18" customHeight="1">
      <c r="A11" s="14" t="inlineStr">
        <is>
          <t>flame_oracle — 화염 신탁 (Archer/fire)</t>
        </is>
      </c>
      <c r="B11" s="16" t="n"/>
      <c r="C11" s="16" t="n"/>
      <c r="D11" s="16" t="n"/>
      <c r="E11" s="16" t="n"/>
      <c r="F11" s="16" t="n"/>
      <c r="G11" s="16" t="n"/>
      <c r="H11" s="16" t="n"/>
      <c r="I11" s="16" t="n"/>
      <c r="J11" s="24" t="n"/>
      <c r="K11" s="16" t="n"/>
      <c r="L11" s="16" t="n"/>
      <c r="M11" s="17">
        <f>_xlfn.XLOOKUP(A11,'작업관리'!B:B,'작업관리'!E:E,"")</f>
        <v/>
      </c>
      <c r="N11" s="17">
        <f>_xlfn.XLOOKUP(A11,'작업관리'!B:B,'작업관리'!F:F,"")</f>
        <v/>
      </c>
      <c r="O11" s="17">
        <f>_xlfn.XLOOKUP(A11,'작업관리'!B:B,'작업관리'!G:G,"")</f>
        <v/>
      </c>
      <c r="P11" s="18" t="n">
        <v>46934</v>
      </c>
      <c r="Q11" s="17">
        <f>IF(N11="완료","완료",IF(N11="보류","보류",IF(N11="진행 중",IF(P11&lt;TODAY(),"딜레이","진행중"),IF(P11&lt;TODAY(),"딜레이",IF(TODAY()&gt;=DATE(YEAR(P11),MONTH(P11)-2,1),"임박","예정")))))</f>
        <v/>
      </c>
      <c r="R11" s="19">
        <f>IF(OR(N11="완료",N11="보류"),"-",IF(P11&lt;TODAY(),TODAY()-P11,""))</f>
        <v/>
      </c>
    </row>
    <row r="12" ht="18" customHeight="1">
      <c r="A12" s="14" t="inlineStr">
        <is>
          <t>soul_binder — 영혼 결속자 (Shifter/soul)</t>
        </is>
      </c>
      <c r="B12" s="16" t="n"/>
      <c r="C12" s="16" t="n"/>
      <c r="D12" s="16" t="n"/>
      <c r="E12" s="16" t="n"/>
      <c r="F12" s="16" t="n"/>
      <c r="G12" s="16" t="n"/>
      <c r="H12" s="16" t="n"/>
      <c r="I12" s="16" t="n"/>
      <c r="J12" s="16" t="n"/>
      <c r="K12" s="25" t="n"/>
      <c r="L12" s="16" t="n"/>
      <c r="M12" s="17">
        <f>_xlfn.XLOOKUP(A12,'작업관리'!B:B,'작업관리'!E:E,"")</f>
        <v/>
      </c>
      <c r="N12" s="17">
        <f>_xlfn.XLOOKUP(A12,'작업관리'!B:B,'작업관리'!F:F,"")</f>
        <v/>
      </c>
      <c r="O12" s="17">
        <f>_xlfn.XLOOKUP(A12,'작업관리'!B:B,'작업관리'!G:G,"")</f>
        <v/>
      </c>
      <c r="P12" s="18" t="n">
        <v>47026</v>
      </c>
      <c r="Q12" s="17">
        <f>IF(N12="완료","완료",IF(N12="보류","보류",IF(N12="진행 중",IF(P12&lt;TODAY(),"딜레이","진행중"),IF(P12&lt;TODAY(),"딜레이",IF(TODAY()&gt;=DATE(YEAR(P12),MONTH(P12)-2,1),"임박","예정")))))</f>
        <v/>
      </c>
      <c r="R12" s="19">
        <f>IF(OR(N12="완료",N12="보류"),"-",IF(P12&lt;TODAY(),TODAY()-P12,""))</f>
        <v/>
      </c>
    </row>
    <row r="13" ht="18" customHeight="1">
      <c r="A13" s="14" t="inlineStr">
        <is>
          <t>abyss_avatar — 심연의 화신 [히든]</t>
        </is>
      </c>
      <c r="B13" s="16" t="n"/>
      <c r="C13" s="16" t="n"/>
      <c r="D13" s="16" t="n"/>
      <c r="E13" s="16" t="n"/>
      <c r="F13" s="16" t="n"/>
      <c r="G13" s="16" t="n"/>
      <c r="H13" s="16" t="n"/>
      <c r="I13" s="16" t="n"/>
      <c r="J13" s="16" t="n"/>
      <c r="K13" s="16" t="n"/>
      <c r="L13" s="26" t="inlineStr">
        <is>
          <t>H</t>
        </is>
      </c>
      <c r="M13" s="17">
        <f>_xlfn.XLOOKUP(A13,'작업관리'!B:B,'작업관리'!E:E,"")</f>
        <v/>
      </c>
      <c r="N13" s="17">
        <f>_xlfn.XLOOKUP(A13,'작업관리'!B:B,'작업관리'!F:F,"")</f>
        <v/>
      </c>
      <c r="O13" s="17">
        <f>_xlfn.XLOOKUP(A13,'작업관리'!B:B,'작업관리'!G:G,"")</f>
        <v/>
      </c>
      <c r="P13" s="18" t="n">
        <v>47118</v>
      </c>
      <c r="Q13" s="17">
        <f>IF(N13="완료","완료",IF(N13="보류","보류",IF(N13="진행 중",IF(P13&lt;TODAY(),"딜레이","진행중"),IF(P13&lt;TODAY(),"딜레이",IF(TODAY()&gt;=DATE(YEAR(P13),MONTH(P13)-2,1),"임박","예정")))))</f>
        <v/>
      </c>
      <c r="R13" s="19">
        <f>IF(OR(N13="완료",N13="보류"),"-",IF(P13&lt;TODAY(),TODAY()-P13,""))</f>
        <v/>
      </c>
    </row>
    <row r="14" ht="20" customHeight="1">
      <c r="A14" s="13" t="inlineStr">
        <is>
          <t>시너지 축 (Synergy Axes) — 6축 ↗ (문서 열기)</t>
        </is>
      </c>
    </row>
    <row r="15" ht="18" customHeight="1">
      <c r="A15" s="14" t="inlineStr">
        <is>
          <t>fire — 불꽃 (DoT·폭발)</t>
        </is>
      </c>
      <c r="B15" s="15" t="inlineStr">
        <is>
          <t>✓</t>
        </is>
      </c>
      <c r="C15" s="16" t="n"/>
      <c r="D15" s="16" t="n"/>
      <c r="E15" s="16" t="n"/>
      <c r="F15" s="16" t="n"/>
      <c r="G15" s="16" t="n"/>
      <c r="H15" s="16" t="n"/>
      <c r="I15" s="16" t="n"/>
      <c r="J15" s="16" t="n"/>
      <c r="K15" s="16" t="n"/>
      <c r="L15" s="16" t="n"/>
      <c r="M15" s="17">
        <f>_xlfn.XLOOKUP(A15,'작업관리'!B:B,'작업관리'!E:E,"")</f>
        <v/>
      </c>
      <c r="N15" s="17">
        <f>_xlfn.XLOOKUP(A15,'작업관리'!B:B,'작업관리'!F:F,"")</f>
        <v/>
      </c>
      <c r="O15" s="17">
        <f>_xlfn.XLOOKUP(A15,'작업관리'!B:B,'작업관리'!G:G,"")</f>
        <v/>
      </c>
      <c r="P15" s="18" t="n">
        <v>46203</v>
      </c>
      <c r="Q15" s="17">
        <f>IF(N15="완료","완료",IF(N15="보류","보류",IF(N15="진행 중",IF(P15&lt;TODAY(),"딜레이","진행중"),IF(P15&lt;TODAY(),"딜레이",IF(TODAY()&gt;=DATE(YEAR(P15),MONTH(P15)-2,1),"임박","예정")))))</f>
        <v/>
      </c>
      <c r="R15" s="19">
        <f>IF(OR(N15="완료",N15="보류"),"-",IF(P15&lt;TODAY(),TODAY()-P15,""))</f>
        <v/>
      </c>
    </row>
    <row r="16" ht="18" customHeight="1">
      <c r="A16" s="14" t="inlineStr">
        <is>
          <t>abyss — 심연 (이동·대시·잔상)</t>
        </is>
      </c>
      <c r="B16" s="15" t="inlineStr">
        <is>
          <t>✓</t>
        </is>
      </c>
      <c r="C16" s="16" t="n"/>
      <c r="D16" s="16" t="n"/>
      <c r="E16" s="16" t="n"/>
      <c r="F16" s="16" t="n"/>
      <c r="G16" s="16" t="n"/>
      <c r="H16" s="16" t="n"/>
      <c r="I16" s="16" t="n"/>
      <c r="J16" s="16" t="n"/>
      <c r="K16" s="16" t="n"/>
      <c r="L16" s="16" t="n"/>
      <c r="M16" s="17">
        <f>_xlfn.XLOOKUP(A16,'작업관리'!B:B,'작업관리'!E:E,"")</f>
        <v/>
      </c>
      <c r="N16" s="17">
        <f>_xlfn.XLOOKUP(A16,'작업관리'!B:B,'작업관리'!F:F,"")</f>
        <v/>
      </c>
      <c r="O16" s="17">
        <f>_xlfn.XLOOKUP(A16,'작업관리'!B:B,'작업관리'!G:G,"")</f>
        <v/>
      </c>
      <c r="P16" s="18" t="n">
        <v>46203</v>
      </c>
      <c r="Q16" s="17">
        <f>IF(N16="완료","완료",IF(N16="보류","보류",IF(N16="진행 중",IF(P16&lt;TODAY(),"딜레이","진행중"),IF(P16&lt;TODAY(),"딜레이",IF(TODAY()&gt;=DATE(YEAR(P16),MONTH(P16)-2,1),"임박","예정")))))</f>
        <v/>
      </c>
      <c r="R16" s="19">
        <f>IF(OR(N16="완료",N16="보류"),"-",IF(P16&lt;TODAY(),TODAY()-P16,""))</f>
        <v/>
      </c>
    </row>
    <row r="17" ht="18" customHeight="1">
      <c r="A17" s="14" t="inlineStr">
        <is>
          <t>guard — 수호 (방어·가드 카운터)</t>
        </is>
      </c>
      <c r="B17" s="16" t="n"/>
      <c r="C17" s="20" t="inlineStr">
        <is>
          <t>✓</t>
        </is>
      </c>
      <c r="D17" s="16" t="n"/>
      <c r="E17" s="16" t="n"/>
      <c r="F17" s="16" t="n"/>
      <c r="G17" s="16" t="n"/>
      <c r="H17" s="16" t="n"/>
      <c r="I17" s="16" t="n"/>
      <c r="J17" s="16" t="n"/>
      <c r="K17" s="16" t="n"/>
      <c r="L17" s="16" t="n"/>
      <c r="M17" s="17">
        <f>_xlfn.XLOOKUP(A17,'작업관리'!B:B,'작업관리'!E:E,"")</f>
        <v/>
      </c>
      <c r="N17" s="17">
        <f>_xlfn.XLOOKUP(A17,'작업관리'!B:B,'작업관리'!F:F,"")</f>
        <v/>
      </c>
      <c r="O17" s="17">
        <f>_xlfn.XLOOKUP(A17,'작업관리'!B:B,'작업관리'!G:G,"")</f>
        <v/>
      </c>
      <c r="P17" s="18" t="n">
        <v>46295</v>
      </c>
      <c r="Q17" s="17">
        <f>IF(N17="완료","완료",IF(N17="보류","보류",IF(N17="진행 중",IF(P17&lt;TODAY(),"딜레이","진행중"),IF(P17&lt;TODAY(),"딜레이",IF(TODAY()&gt;=DATE(YEAR(P17),MONTH(P17)-2,1),"임박","예정")))))</f>
        <v/>
      </c>
      <c r="R17" s="19">
        <f>IF(OR(N17="완료",N17="보류"),"-",IF(P17&lt;TODAY(),TODAY()-P17,""))</f>
        <v/>
      </c>
    </row>
    <row r="18" ht="18" customHeight="1">
      <c r="A18" s="14" t="inlineStr">
        <is>
          <t>시너지 발동 로직 (폭발 신학·심연 동료)</t>
        </is>
      </c>
      <c r="B18" s="16" t="n"/>
      <c r="C18" s="16" t="n"/>
      <c r="D18" s="21" t="inlineStr">
        <is>
          <t>✓</t>
        </is>
      </c>
      <c r="E18" s="16" t="n"/>
      <c r="F18" s="16" t="n"/>
      <c r="G18" s="16" t="n"/>
      <c r="H18" s="16" t="n"/>
      <c r="I18" s="16" t="n"/>
      <c r="J18" s="16" t="n"/>
      <c r="K18" s="16" t="n"/>
      <c r="L18" s="16" t="n"/>
      <c r="M18" s="17">
        <f>_xlfn.XLOOKUP(A18,'작업관리'!B:B,'작업관리'!E:E,"")</f>
        <v/>
      </c>
      <c r="N18" s="17">
        <f>_xlfn.XLOOKUP(A18,'작업관리'!B:B,'작업관리'!F:F,"")</f>
        <v/>
      </c>
      <c r="O18" s="17">
        <f>_xlfn.XLOOKUP(A18,'작업관리'!B:B,'작업관리'!G:G,"")</f>
        <v/>
      </c>
      <c r="P18" s="18" t="n">
        <v>46387</v>
      </c>
      <c r="Q18" s="17">
        <f>IF(N18="완료","완료",IF(N18="보류","보류",IF(N18="진행 중",IF(P18&lt;TODAY(),"딜레이","진행중"),IF(P18&lt;TODAY(),"딜레이",IF(TODAY()&gt;=DATE(YEAR(P18),MONTH(P18)-2,1),"임박","예정")))))</f>
        <v/>
      </c>
      <c r="R18" s="19">
        <f>IF(OR(N18="완료",N18="보류"),"-",IF(P18&lt;TODAY(),TODAY()-P18,""))</f>
        <v/>
      </c>
    </row>
    <row r="19" ht="18" customHeight="1">
      <c r="A19" s="14" t="inlineStr">
        <is>
          <t>연소 상태이상 (불꽃 축 기반 DoT)</t>
        </is>
      </c>
      <c r="B19" s="16" t="n"/>
      <c r="C19" s="16" t="n"/>
      <c r="D19" s="21" t="inlineStr">
        <is>
          <t>✓</t>
        </is>
      </c>
      <c r="E19" s="16" t="n"/>
      <c r="F19" s="16" t="n"/>
      <c r="G19" s="16" t="n"/>
      <c r="H19" s="16" t="n"/>
      <c r="I19" s="16" t="n"/>
      <c r="J19" s="16" t="n"/>
      <c r="K19" s="16" t="n"/>
      <c r="L19" s="16" t="n"/>
      <c r="M19" s="17">
        <f>_xlfn.XLOOKUP(A19,'작업관리'!B:B,'작업관리'!E:E,"")</f>
        <v/>
      </c>
      <c r="N19" s="17">
        <f>_xlfn.XLOOKUP(A19,'작업관리'!B:B,'작업관리'!F:F,"")</f>
        <v/>
      </c>
      <c r="O19" s="17">
        <f>_xlfn.XLOOKUP(A19,'작업관리'!B:B,'작업관리'!G:G,"")</f>
        <v/>
      </c>
      <c r="P19" s="18" t="n">
        <v>46387</v>
      </c>
      <c r="Q19" s="17">
        <f>IF(N19="완료","완료",IF(N19="보류","보류",IF(N19="진행 중",IF(P19&lt;TODAY(),"딜레이","진행중"),IF(P19&lt;TODAY(),"딜레이",IF(TODAY()&gt;=DATE(YEAR(P19),MONTH(P19)-2,1),"임박","예정")))))</f>
        <v/>
      </c>
      <c r="R19" s="19">
        <f>IF(OR(N19="완료",N19="보류"),"-",IF(P19&lt;TODAY(),TODAY()-P19,""))</f>
        <v/>
      </c>
    </row>
    <row r="20" ht="18" customHeight="1">
      <c r="A20" s="14" t="inlineStr">
        <is>
          <t>Passive 발동 로직 (연소 강화·불꽃 갑옷)</t>
        </is>
      </c>
      <c r="B20" s="16" t="n"/>
      <c r="C20" s="16" t="n"/>
      <c r="D20" s="21" t="inlineStr">
        <is>
          <t>✓</t>
        </is>
      </c>
      <c r="E20" s="16" t="n"/>
      <c r="F20" s="16" t="n"/>
      <c r="G20" s="16" t="n"/>
      <c r="H20" s="16" t="n"/>
      <c r="I20" s="16" t="n"/>
      <c r="J20" s="16" t="n"/>
      <c r="K20" s="16" t="n"/>
      <c r="L20" s="16" t="n"/>
      <c r="M20" s="17">
        <f>_xlfn.XLOOKUP(A20,'작업관리'!B:B,'작업관리'!E:E,"")</f>
        <v/>
      </c>
      <c r="N20" s="17">
        <f>_xlfn.XLOOKUP(A20,'작업관리'!B:B,'작업관리'!F:F,"")</f>
        <v/>
      </c>
      <c r="O20" s="17">
        <f>_xlfn.XLOOKUP(A20,'작업관리'!B:B,'작업관리'!G:G,"")</f>
        <v/>
      </c>
      <c r="P20" s="18" t="n">
        <v>46387</v>
      </c>
      <c r="Q20" s="17">
        <f>IF(N20="완료","완료",IF(N20="보류","보류",IF(N20="진행 중",IF(P20&lt;TODAY(),"딜레이","진행중"),IF(P20&lt;TODAY(),"딜레이",IF(TODAY()&gt;=DATE(YEAR(P20),MONTH(P20)-2,1),"임박","예정")))))</f>
        <v/>
      </c>
      <c r="R20" s="19">
        <f>IF(OR(N20="완료",N20="보류"),"-",IF(P20&lt;TODAY(),TODAY()-P20,""))</f>
        <v/>
      </c>
    </row>
    <row r="21" ht="18" customHeight="1">
      <c r="A21" s="14" t="inlineStr">
        <is>
          <t>Passive 발동 로직 (잔상·심연 충전)</t>
        </is>
      </c>
      <c r="B21" s="16" t="n"/>
      <c r="C21" s="16" t="n"/>
      <c r="D21" s="21" t="inlineStr">
        <is>
          <t>✓</t>
        </is>
      </c>
      <c r="E21" s="16" t="n"/>
      <c r="F21" s="16" t="n"/>
      <c r="G21" s="16" t="n"/>
      <c r="H21" s="16" t="n"/>
      <c r="I21" s="16" t="n"/>
      <c r="J21" s="16" t="n"/>
      <c r="K21" s="16" t="n"/>
      <c r="L21" s="16" t="n"/>
      <c r="M21" s="17">
        <f>_xlfn.XLOOKUP(A21,'작업관리'!B:B,'작업관리'!E:E,"")</f>
        <v/>
      </c>
      <c r="N21" s="17">
        <f>_xlfn.XLOOKUP(A21,'작업관리'!B:B,'작업관리'!F:F,"")</f>
        <v/>
      </c>
      <c r="O21" s="17">
        <f>_xlfn.XLOOKUP(A21,'작업관리'!B:B,'작업관리'!G:G,"")</f>
        <v/>
      </c>
      <c r="P21" s="18" t="n">
        <v>46387</v>
      </c>
      <c r="Q21" s="17">
        <f>IF(N21="완료","완료",IF(N21="보류","보류",IF(N21="진행 중",IF(P21&lt;TODAY(),"딜레이","진행중"),IF(P21&lt;TODAY(),"딜레이",IF(TODAY()&gt;=DATE(YEAR(P21),MONTH(P21)-2,1),"임박","예정")))))</f>
        <v/>
      </c>
      <c r="R21" s="19">
        <f>IF(OR(N21="완료",N21="보류"),"-",IF(P21&lt;TODAY(),TODAY()-P21,""))</f>
        <v/>
      </c>
    </row>
    <row r="22" ht="18" customHeight="1">
      <c r="A22" s="14" t="inlineStr">
        <is>
          <t>blood_pact — 피의 서약 (흡혈)</t>
        </is>
      </c>
      <c r="B22" s="16" t="n"/>
      <c r="C22" s="16" t="n"/>
      <c r="D22" s="16" t="n"/>
      <c r="E22" s="16" t="n"/>
      <c r="F22" s="16" t="n"/>
      <c r="G22" s="16" t="n"/>
      <c r="H22" s="16" t="n"/>
      <c r="I22" s="27" t="inlineStr">
        <is>
          <t>✓</t>
        </is>
      </c>
      <c r="J22" s="16" t="n"/>
      <c r="K22" s="16" t="n"/>
      <c r="L22" s="16" t="n"/>
      <c r="M22" s="17">
        <f>_xlfn.XLOOKUP(A22,'작업관리'!B:B,'작업관리'!E:E,"")</f>
        <v/>
      </c>
      <c r="N22" s="17">
        <f>_xlfn.XLOOKUP(A22,'작업관리'!B:B,'작업관리'!F:F,"")</f>
        <v/>
      </c>
      <c r="O22" s="17">
        <f>_xlfn.XLOOKUP(A22,'작업관리'!B:B,'작업관리'!G:G,"")</f>
        <v/>
      </c>
      <c r="P22" s="18" t="n">
        <v>46843</v>
      </c>
      <c r="Q22" s="17">
        <f>IF(N22="완료","완료",IF(N22="보류","보류",IF(N22="진행 중",IF(P22&lt;TODAY(),"딜레이","진행중"),IF(P22&lt;TODAY(),"딜레이",IF(TODAY()&gt;=DATE(YEAR(P22),MONTH(P22)-2,1),"임박","예정")))))</f>
        <v/>
      </c>
      <c r="R22" s="19">
        <f>IF(OR(N22="완료",N22="보류"),"-",IF(P22&lt;TODAY(),TODAY()-P22,""))</f>
        <v/>
      </c>
    </row>
    <row r="23" ht="18" customHeight="1">
      <c r="A23" s="14" t="inlineStr">
        <is>
          <t>frost — 빙결 (CC 누적)</t>
        </is>
      </c>
      <c r="B23" s="16" t="n"/>
      <c r="C23" s="16" t="n"/>
      <c r="D23" s="16" t="n"/>
      <c r="E23" s="22" t="n"/>
      <c r="F23" s="16" t="n"/>
      <c r="G23" s="16" t="n"/>
      <c r="H23" s="16" t="n"/>
      <c r="I23" s="16" t="n"/>
      <c r="J23" s="16" t="n"/>
      <c r="K23" s="16" t="n"/>
      <c r="L23" s="16" t="n"/>
      <c r="M23" s="17">
        <f>_xlfn.XLOOKUP(A23,'작업관리'!B:B,'작업관리'!E:E,"")</f>
        <v/>
      </c>
      <c r="N23" s="17">
        <f>_xlfn.XLOOKUP(A23,'작업관리'!B:B,'작업관리'!F:F,"")</f>
        <v/>
      </c>
      <c r="O23" s="17">
        <f>_xlfn.XLOOKUP(A23,'작업관리'!B:B,'작업관리'!G:G,"")</f>
        <v/>
      </c>
      <c r="P23" s="18" t="n">
        <v>46477</v>
      </c>
      <c r="Q23" s="17">
        <f>IF(N23="완료","완료",IF(N23="보류","보류",IF(N23="진행 중",IF(P23&lt;TODAY(),"딜레이","진행중"),IF(P23&lt;TODAY(),"딜레이",IF(TODAY()&gt;=DATE(YEAR(P23),MONTH(P23)-2,1),"임박","예정")))))</f>
        <v/>
      </c>
      <c r="R23" s="19">
        <f>IF(OR(N23="완료",N23="보류"),"-",IF(P23&lt;TODAY(),TODAY()-P23,""))</f>
        <v/>
      </c>
    </row>
    <row r="24" ht="18" customHeight="1">
      <c r="A24" s="14" t="inlineStr">
        <is>
          <t>soul — 영혼 (복제·능력 차용)</t>
        </is>
      </c>
      <c r="B24" s="16" t="n"/>
      <c r="C24" s="16" t="n"/>
      <c r="D24" s="16" t="n"/>
      <c r="E24" s="16" t="n"/>
      <c r="F24" s="16" t="n"/>
      <c r="G24" s="16" t="n"/>
      <c r="H24" s="16" t="n"/>
      <c r="I24" s="16" t="n"/>
      <c r="J24" s="16" t="n"/>
      <c r="K24" s="25" t="n"/>
      <c r="L24" s="16" t="n"/>
      <c r="M24" s="17">
        <f>_xlfn.XLOOKUP(A24,'작업관리'!B:B,'작업관리'!E:E,"")</f>
        <v/>
      </c>
      <c r="N24" s="17">
        <f>_xlfn.XLOOKUP(A24,'작업관리'!B:B,'작업관리'!F:F,"")</f>
        <v/>
      </c>
      <c r="O24" s="17">
        <f>_xlfn.XLOOKUP(A24,'작업관리'!B:B,'작업관리'!G:G,"")</f>
        <v/>
      </c>
      <c r="P24" s="18" t="n">
        <v>47026</v>
      </c>
      <c r="Q24" s="17">
        <f>IF(N24="완료","완료",IF(N24="보류","보류",IF(N24="진행 중",IF(P24&lt;TODAY(),"딜레이","진행중"),IF(P24&lt;TODAY(),"딜레이",IF(TODAY()&gt;=DATE(YEAR(P24),MONTH(P24)-2,1),"임박","예정")))))</f>
        <v/>
      </c>
      <c r="R24" s="19">
        <f>IF(OR(N24="완료",N24="보류"),"-",IF(P24&lt;TODAY(),TODAY()-P24,""))</f>
        <v/>
      </c>
    </row>
    <row r="25" ht="20" customHeight="1">
      <c r="A25" s="13" t="inlineStr">
        <is>
          <t>스킬 풀 (Skills) — 150개 목표 ↗ (문서 열기)</t>
        </is>
      </c>
    </row>
    <row r="26" ht="18" customHeight="1">
      <c r="A26" s="14" t="inlineStr">
        <is>
          <t>11 스킬 (불꽃 5 + 심연 5 + 버프 1)</t>
        </is>
      </c>
      <c r="B26" s="28" t="inlineStr">
        <is>
          <t>11</t>
        </is>
      </c>
      <c r="C26" s="16" t="n"/>
      <c r="D26" s="16" t="n"/>
      <c r="E26" s="16" t="n"/>
      <c r="F26" s="16" t="n"/>
      <c r="G26" s="16" t="n"/>
      <c r="H26" s="16" t="n"/>
      <c r="I26" s="16" t="n"/>
      <c r="J26" s="16" t="n"/>
      <c r="K26" s="16" t="n"/>
      <c r="L26" s="16" t="n"/>
      <c r="M26" s="17">
        <f>_xlfn.XLOOKUP(A26,'작업관리'!B:B,'작업관리'!E:E,"")</f>
        <v/>
      </c>
      <c r="N26" s="17">
        <f>_xlfn.XLOOKUP(A26,'작업관리'!B:B,'작업관리'!F:F,"")</f>
        <v/>
      </c>
      <c r="O26" s="17">
        <f>_xlfn.XLOOKUP(A26,'작업관리'!B:B,'작업관리'!G:G,"")</f>
        <v/>
      </c>
      <c r="P26" s="18" t="n">
        <v>46203</v>
      </c>
      <c r="Q26" s="17">
        <f>IF(N26="완료","완료",IF(N26="보류","보류",IF(N26="진행 중",IF(P26&lt;TODAY(),"딜레이","진행중"),IF(P26&lt;TODAY(),"딜레이",IF(TODAY()&gt;=DATE(YEAR(P26),MONTH(P26)-2,1),"임박","예정")))))</f>
        <v/>
      </c>
      <c r="R26" s="19">
        <f>IF(OR(N26="완료",N26="보류"),"-",IF(P26&lt;TODAY(),TODAY()-P26,""))</f>
        <v/>
      </c>
    </row>
    <row r="27" ht="18" customHeight="1">
      <c r="A27" s="14" t="inlineStr">
        <is>
          <t>18 스킬 (+화염 폭발·영혼 회수·반격 태세)</t>
        </is>
      </c>
      <c r="B27" s="16" t="n"/>
      <c r="C27" s="20" t="inlineStr">
        <is>
          <t>✓</t>
        </is>
      </c>
      <c r="D27" s="16" t="n"/>
      <c r="E27" s="16" t="n"/>
      <c r="F27" s="16" t="n"/>
      <c r="G27" s="16" t="n"/>
      <c r="H27" s="16" t="n"/>
      <c r="I27" s="16" t="n"/>
      <c r="J27" s="16" t="n"/>
      <c r="K27" s="16" t="n"/>
      <c r="L27" s="16" t="n"/>
      <c r="M27" s="17">
        <f>_xlfn.XLOOKUP(A27,'작업관리'!B:B,'작업관리'!E:E,"")</f>
        <v/>
      </c>
      <c r="N27" s="17">
        <f>_xlfn.XLOOKUP(A27,'작업관리'!B:B,'작업관리'!F:F,"")</f>
        <v/>
      </c>
      <c r="O27" s="17">
        <f>_xlfn.XLOOKUP(A27,'작업관리'!B:B,'작업관리'!G:G,"")</f>
        <v/>
      </c>
      <c r="P27" s="18" t="n">
        <v>46295</v>
      </c>
      <c r="Q27" s="17">
        <f>IF(N27="완료","완료",IF(N27="보류","보류",IF(N27="진행 중",IF(P27&lt;TODAY(),"딜레이","진행중"),IF(P27&lt;TODAY(),"딜레이",IF(TODAY()&gt;=DATE(YEAR(P27),MONTH(P27)-2,1),"임박","예정")))))</f>
        <v/>
      </c>
      <c r="R27" s="19">
        <f>IF(OR(N27="완료",N27="보류"),"-",IF(P27&lt;TODAY(),TODAY()-P27,""))</f>
        <v/>
      </c>
    </row>
    <row r="28" ht="18" customHeight="1">
      <c r="A28" s="14" t="inlineStr">
        <is>
          <t>기존 18스킬의 3빌드 검증 후 30~40종 검토 (피의 서약은 M4)</t>
        </is>
      </c>
      <c r="B28" s="16" t="n"/>
      <c r="C28" s="16" t="n"/>
      <c r="D28" s="29" t="inlineStr">
        <is>
          <t>30종 사용자 검증·커밋 da8e6e0 · 액티브 아이콘 2종 Codex 대기 (2026-10-06)</t>
        </is>
      </c>
      <c r="E28" s="16" t="n"/>
      <c r="F28" s="16" t="n"/>
      <c r="G28" s="16" t="n"/>
      <c r="H28" s="16" t="n"/>
      <c r="I28" s="16" t="n"/>
      <c r="J28" s="16" t="n"/>
      <c r="K28" s="16" t="n"/>
      <c r="L28" s="16" t="n"/>
      <c r="M28" s="17">
        <f>_xlfn.XLOOKUP(A28,'작업관리'!B:B,'작업관리'!E:E,"")</f>
        <v/>
      </c>
      <c r="N28" s="17">
        <f>_xlfn.XLOOKUP(A28,'작업관리'!B:B,'작업관리'!F:F,"")</f>
        <v/>
      </c>
      <c r="O28" s="17">
        <f>_xlfn.XLOOKUP(A28,'작업관리'!B:B,'작업관리'!G:G,"")</f>
        <v/>
      </c>
      <c r="P28" s="18" t="n">
        <v>46387</v>
      </c>
      <c r="Q28" s="17">
        <f>IF(N28="완료","완료",IF(N28="보류","보류",IF(N28="진행 중",IF(P28&lt;TODAY(),"딜레이","진행중"),IF(P28&lt;TODAY(),"딜레이",IF(TODAY()&gt;=DATE(YEAR(P28),MONTH(P28)-2,1),"임박","예정")))))</f>
        <v/>
      </c>
      <c r="R28" s="19">
        <f>IF(OR(N28="완료",N28="보류"),"-",IF(P28&lt;TODAY(),TODAY()-P28,""))</f>
        <v/>
      </c>
    </row>
    <row r="29" ht="18" customHeight="1">
      <c r="A29" s="14" t="inlineStr">
        <is>
          <t>60스킬 확장 후보 (PG2 후 · 빙결은 폼 제작과 연동)</t>
        </is>
      </c>
      <c r="B29" s="16" t="n"/>
      <c r="C29" s="16" t="n"/>
      <c r="D29" s="16" t="n"/>
      <c r="E29" s="30" t="inlineStr">
        <is>
          <t>60</t>
        </is>
      </c>
      <c r="F29" s="16" t="n"/>
      <c r="G29" s="16" t="n"/>
      <c r="H29" s="16" t="n"/>
      <c r="I29" s="16" t="n"/>
      <c r="J29" s="16" t="n"/>
      <c r="K29" s="16" t="n"/>
      <c r="L29" s="16" t="n"/>
      <c r="M29" s="17">
        <f>_xlfn.XLOOKUP(A29,'작업관리'!B:B,'작업관리'!E:E,"")</f>
        <v/>
      </c>
      <c r="N29" s="17">
        <f>_xlfn.XLOOKUP(A29,'작업관리'!B:B,'작업관리'!F:F,"")</f>
        <v/>
      </c>
      <c r="O29" s="17">
        <f>_xlfn.XLOOKUP(A29,'작업관리'!B:B,'작업관리'!G:G,"")</f>
        <v/>
      </c>
      <c r="P29" s="18" t="n">
        <v>46477</v>
      </c>
      <c r="Q29" s="17">
        <f>IF(N29="완료","완료",IF(N29="보류","보류",IF(N29="진행 중",IF(P29&lt;TODAY(),"딜레이","진행중"),IF(P29&lt;TODAY(),"딜레이",IF(TODAY()&gt;=DATE(YEAR(P29),MONTH(P29)-2,1),"임박","예정")))))</f>
        <v/>
      </c>
      <c r="R29" s="19">
        <f>IF(OR(N29="완료",N29="보류"),"-",IF(P29&lt;TODAY(),TODAY()-P29,""))</f>
        <v/>
      </c>
    </row>
    <row r="30" ht="18" customHeight="1">
      <c r="A30" s="14" t="inlineStr">
        <is>
          <t>EA 스킬 풀 확정 (80종 후보 · PG2 제작성에 따라 조정)</t>
        </is>
      </c>
      <c r="B30" s="16" t="n"/>
      <c r="C30" s="16" t="n"/>
      <c r="D30" s="16" t="n"/>
      <c r="E30" s="16" t="n"/>
      <c r="F30" s="31" t="inlineStr">
        <is>
          <t>80</t>
        </is>
      </c>
      <c r="G30" s="16" t="n"/>
      <c r="H30" s="16" t="n"/>
      <c r="I30" s="16" t="n"/>
      <c r="J30" s="16" t="n"/>
      <c r="K30" s="16" t="n"/>
      <c r="L30" s="16" t="n"/>
      <c r="M30" s="17">
        <f>_xlfn.XLOOKUP(A30,'작업관리'!B:B,'작업관리'!E:E,"")</f>
        <v/>
      </c>
      <c r="N30" s="17">
        <f>_xlfn.XLOOKUP(A30,'작업관리'!B:B,'작업관리'!F:F,"")</f>
        <v/>
      </c>
      <c r="O30" s="17">
        <f>_xlfn.XLOOKUP(A30,'작업관리'!B:B,'작업관리'!G:G,"")</f>
        <v/>
      </c>
      <c r="P30" s="18" t="n">
        <v>46568</v>
      </c>
      <c r="Q30" s="17">
        <f>IF(N30="완료","완료",IF(N30="보류","보류",IF(N30="진행 중",IF(P30&lt;TODAY(),"딜레이","진행중"),IF(P30&lt;TODAY(),"딜레이",IF(TODAY()&gt;=DATE(YEAR(P30),MONTH(P30)-2,1),"임박","예정")))))</f>
        <v/>
      </c>
      <c r="R30" s="19">
        <f>IF(OR(N30="완료",N30="보류"),"-",IF(P30&lt;TODAY(),TODAY()-P30,""))</f>
        <v/>
      </c>
    </row>
    <row r="31" ht="18" customHeight="1">
      <c r="A31" s="14" t="inlineStr">
        <is>
          <t>EA 운영 스킬 확장 (100종 후보 · 실제 피드백 우선)</t>
        </is>
      </c>
      <c r="B31" s="16" t="n"/>
      <c r="C31" s="16" t="n"/>
      <c r="D31" s="16" t="n"/>
      <c r="E31" s="16" t="n"/>
      <c r="F31" s="16" t="n"/>
      <c r="G31" s="32" t="inlineStr">
        <is>
          <t>90→100</t>
        </is>
      </c>
      <c r="H31" s="31" t="inlineStr">
        <is>
          <t>90→100</t>
        </is>
      </c>
      <c r="I31" s="16" t="n"/>
      <c r="J31" s="16" t="n"/>
      <c r="K31" s="16" t="n"/>
      <c r="L31" s="16" t="n"/>
      <c r="M31" s="17">
        <f>_xlfn.XLOOKUP(A31,'작업관리'!B:B,'작업관리'!E:E,"")</f>
        <v/>
      </c>
      <c r="N31" s="17">
        <f>_xlfn.XLOOKUP(A31,'작업관리'!B:B,'작업관리'!F:F,"")</f>
        <v/>
      </c>
      <c r="O31" s="17">
        <f>_xlfn.XLOOKUP(A31,'작업관리'!B:B,'작업관리'!G:G,"")</f>
        <v/>
      </c>
      <c r="P31" s="18" t="n">
        <v>46752</v>
      </c>
      <c r="Q31" s="17">
        <f>IF(N31="완료","완료",IF(N31="보류","보류",IF(N31="진행 중",IF(P31&lt;TODAY(),"딜레이","진행중"),IF(P31&lt;TODAY(),"딜레이",IF(TODAY()&gt;=DATE(YEAR(P31),MONTH(P31)-2,1),"임박","예정")))))</f>
        <v/>
      </c>
      <c r="R31" s="19">
        <f>IF(OR(N31="완료",N31="보류"),"-",IF(P31&lt;TODAY(),TODAY()-P31,""))</f>
        <v/>
      </c>
    </row>
    <row r="32" ht="18" customHeight="1">
      <c r="A32" s="14" t="inlineStr">
        <is>
          <t>후반 스킬 확장 (130종 후보 · 영혼 축 가치 검증)</t>
        </is>
      </c>
      <c r="B32" s="16" t="n"/>
      <c r="C32" s="16" t="n"/>
      <c r="D32" s="16" t="n"/>
      <c r="E32" s="16" t="n"/>
      <c r="F32" s="16" t="n"/>
      <c r="G32" s="16" t="n"/>
      <c r="H32" s="16" t="n"/>
      <c r="I32" s="33" t="inlineStr">
        <is>
          <t>110→130</t>
        </is>
      </c>
      <c r="J32" s="33" t="inlineStr">
        <is>
          <t>110→130</t>
        </is>
      </c>
      <c r="K32" s="34" t="inlineStr">
        <is>
          <t>110→130</t>
        </is>
      </c>
      <c r="L32" s="16" t="n"/>
      <c r="M32" s="17">
        <f>_xlfn.XLOOKUP(A32,'작업관리'!B:B,'작업관리'!E:E,"")</f>
        <v/>
      </c>
      <c r="N32" s="17">
        <f>_xlfn.XLOOKUP(A32,'작업관리'!B:B,'작업관리'!F:F,"")</f>
        <v/>
      </c>
      <c r="O32" s="17">
        <f>_xlfn.XLOOKUP(A32,'작업관리'!B:B,'작업관리'!G:G,"")</f>
        <v/>
      </c>
      <c r="P32" s="18" t="n">
        <v>47026</v>
      </c>
      <c r="Q32" s="17">
        <f>IF(N32="완료","완료",IF(N32="보류","보류",IF(N32="진행 중",IF(P32&lt;TODAY(),"딜레이","진행중"),IF(P32&lt;TODAY(),"딜레이",IF(TODAY()&gt;=DATE(YEAR(P32),MONTH(P32)-2,1),"임박","예정")))))</f>
        <v/>
      </c>
      <c r="R32" s="19">
        <f>IF(OR(N32="완료",N32="보류"),"-",IF(P32&lt;TODAY(),TODAY()-P32,""))</f>
        <v/>
      </c>
    </row>
    <row r="33" ht="18" customHeight="1">
      <c r="A33" s="14" t="inlineStr">
        <is>
          <t>정식판 스킬 풀 마무리 (150종 상한 후보 · 개수 강제 없음)</t>
        </is>
      </c>
      <c r="B33" s="16" t="n"/>
      <c r="C33" s="16" t="n"/>
      <c r="D33" s="16" t="n"/>
      <c r="E33" s="16" t="n"/>
      <c r="F33" s="16" t="n"/>
      <c r="G33" s="16" t="n"/>
      <c r="H33" s="16" t="n"/>
      <c r="I33" s="16" t="n"/>
      <c r="J33" s="16" t="n"/>
      <c r="K33" s="16" t="n"/>
      <c r="L33" s="35" t="inlineStr">
        <is>
          <t>150</t>
        </is>
      </c>
      <c r="M33" s="17">
        <f>_xlfn.XLOOKUP(A33,'작업관리'!B:B,'작업관리'!E:E,"")</f>
        <v/>
      </c>
      <c r="N33" s="17">
        <f>_xlfn.XLOOKUP(A33,'작업관리'!B:B,'작업관리'!F:F,"")</f>
        <v/>
      </c>
      <c r="O33" s="17">
        <f>_xlfn.XLOOKUP(A33,'작업관리'!B:B,'작업관리'!G:G,"")</f>
        <v/>
      </c>
      <c r="P33" s="18" t="n">
        <v>47118</v>
      </c>
      <c r="Q33" s="17">
        <f>IF(N33="완료","완료",IF(N33="보류","보류",IF(N33="진행 중",IF(P33&lt;TODAY(),"딜레이","진행중"),IF(P33&lt;TODAY(),"딜레이",IF(TODAY()&gt;=DATE(YEAR(P33),MONTH(P33)-2,1),"임박","예정")))))</f>
        <v/>
      </c>
      <c r="R33" s="19">
        <f>IF(OR(N33="완료",N33="보류"),"-",IF(P33&lt;TODAY(),TODAY()-P33,""))</f>
        <v/>
      </c>
    </row>
    <row r="34" ht="20" customHeight="1">
      <c r="A34" s="13" t="inlineStr">
        <is>
          <t>적 (Enemies) — 40~50종 목표 ↗ (문서 열기)</t>
        </is>
      </c>
    </row>
    <row r="35" ht="18" customHeight="1">
      <c r="A35" s="14" t="inlineStr">
        <is>
          <t>일반 적 5종 (Melee×2 / Ranged / Elite / Boss)</t>
        </is>
      </c>
      <c r="B35" s="15" t="inlineStr">
        <is>
          <t>✓</t>
        </is>
      </c>
      <c r="C35" s="16" t="n"/>
      <c r="D35" s="16" t="n"/>
      <c r="E35" s="16" t="n"/>
      <c r="F35" s="16" t="n"/>
      <c r="G35" s="16" t="n"/>
      <c r="H35" s="16" t="n"/>
      <c r="I35" s="16" t="n"/>
      <c r="J35" s="16" t="n"/>
      <c r="K35" s="16" t="n"/>
      <c r="L35" s="16" t="n"/>
      <c r="M35" s="17">
        <f>_xlfn.XLOOKUP(A35,'작업관리'!B:B,'작업관리'!E:E,"")</f>
        <v/>
      </c>
      <c r="N35" s="17">
        <f>_xlfn.XLOOKUP(A35,'작업관리'!B:B,'작업관리'!F:F,"")</f>
        <v/>
      </c>
      <c r="O35" s="17">
        <f>_xlfn.XLOOKUP(A35,'작업관리'!B:B,'작업관리'!G:G,"")</f>
        <v/>
      </c>
      <c r="P35" s="18" t="n">
        <v>46203</v>
      </c>
      <c r="Q35" s="17">
        <f>IF(N35="완료","완료",IF(N35="보류","보류",IF(N35="진행 중",IF(P35&lt;TODAY(),"딜레이","진행중"),IF(P35&lt;TODAY(),"딜레이",IF(TODAY()&gt;=DATE(YEAR(P35),MONTH(P35)-2,1),"임박","예정")))))</f>
        <v/>
      </c>
      <c r="R35" s="19">
        <f>IF(OR(N35="완료",N35="보류"),"-",IF(P35&lt;TODAY(),TODAY()-P35,""))</f>
        <v/>
      </c>
    </row>
    <row r="36" ht="18" customHeight="1">
      <c r="A36" s="14" t="inlineStr">
        <is>
          <t>발사체 시스템 + 원거리적 정상화</t>
        </is>
      </c>
      <c r="B36" s="16" t="n"/>
      <c r="C36" s="20" t="inlineStr">
        <is>
          <t>✓</t>
        </is>
      </c>
      <c r="D36" s="16" t="n"/>
      <c r="E36" s="16" t="n"/>
      <c r="F36" s="16" t="n"/>
      <c r="G36" s="16" t="n"/>
      <c r="H36" s="16" t="n"/>
      <c r="I36" s="16" t="n"/>
      <c r="J36" s="16" t="n"/>
      <c r="K36" s="16" t="n"/>
      <c r="L36" s="16" t="n"/>
      <c r="M36" s="17">
        <f>_xlfn.XLOOKUP(A36,'작업관리'!B:B,'작업관리'!E:E,"")</f>
        <v/>
      </c>
      <c r="N36" s="17">
        <f>_xlfn.XLOOKUP(A36,'작업관리'!B:B,'작업관리'!F:F,"")</f>
        <v/>
      </c>
      <c r="O36" s="17">
        <f>_xlfn.XLOOKUP(A36,'작업관리'!B:B,'작업관리'!G:G,"")</f>
        <v/>
      </c>
      <c r="P36" s="18" t="n">
        <v>46295</v>
      </c>
      <c r="Q36" s="17">
        <f>IF(N36="완료","완료",IF(N36="보류","보류",IF(N36="진행 중",IF(P36&lt;TODAY(),"딜레이","진행중"),IF(P36&lt;TODAY(),"딜레이",IF(TODAY()&gt;=DATE(YEAR(P36),MONTH(P36)-2,1),"임박","예정")))))</f>
        <v/>
      </c>
      <c r="R36" s="19">
        <f>IF(OR(N36="완료",N36="보류"),"-",IF(P36&lt;TODAY(),TODAY()-P36,""))</f>
        <v/>
      </c>
    </row>
    <row r="37" ht="18" customHeight="1">
      <c r="A37" s="14" t="inlineStr">
        <is>
          <t>원거리·발사체형 3종 신규</t>
        </is>
      </c>
      <c r="B37" s="16" t="n"/>
      <c r="C37" s="20" t="inlineStr">
        <is>
          <t>✓</t>
        </is>
      </c>
      <c r="D37" s="16" t="n"/>
      <c r="E37" s="16" t="n"/>
      <c r="F37" s="16" t="n"/>
      <c r="G37" s="16" t="n"/>
      <c r="H37" s="16" t="n"/>
      <c r="I37" s="16" t="n"/>
      <c r="J37" s="16" t="n"/>
      <c r="K37" s="16" t="n"/>
      <c r="L37" s="16" t="n"/>
      <c r="M37" s="17">
        <f>_xlfn.XLOOKUP(A37,'작업관리'!B:B,'작업관리'!E:E,"")</f>
        <v/>
      </c>
      <c r="N37" s="17">
        <f>_xlfn.XLOOKUP(A37,'작업관리'!B:B,'작업관리'!F:F,"")</f>
        <v/>
      </c>
      <c r="O37" s="17">
        <f>_xlfn.XLOOKUP(A37,'작업관리'!B:B,'작업관리'!G:G,"")</f>
        <v/>
      </c>
      <c r="P37" s="18" t="n">
        <v>46295</v>
      </c>
      <c r="Q37" s="17">
        <f>IF(N37="완료","완료",IF(N37="보류","보류",IF(N37="진행 중",IF(P37&lt;TODAY(),"딜레이","진행중"),IF(P37&lt;TODAY(),"딜레이",IF(TODAY()&gt;=DATE(YEAR(P37),MONTH(P37)-2,1),"임박","예정")))))</f>
        <v/>
      </c>
      <c r="R37" s="19">
        <f>IF(OR(N37="완료",N37="보류"),"-",IF(P37&lt;TODAY(),TODAY()-P37,""))</f>
        <v/>
      </c>
    </row>
    <row r="38" ht="18" customHeight="1">
      <c r="A38" s="14" t="inlineStr">
        <is>
          <t>환경 활용형 (천장·잠복·부유) 3종</t>
        </is>
      </c>
      <c r="B38" s="16" t="n"/>
      <c r="C38" s="16" t="n"/>
      <c r="D38" s="36" t="n"/>
      <c r="E38" s="16" t="n"/>
      <c r="F38" s="16" t="n"/>
      <c r="G38" s="16" t="n"/>
      <c r="H38" s="16" t="n"/>
      <c r="I38" s="16" t="n"/>
      <c r="J38" s="16" t="n"/>
      <c r="K38" s="16" t="n"/>
      <c r="L38" s="16" t="n"/>
      <c r="M38" s="17">
        <f>_xlfn.XLOOKUP(A38,'작업관리'!B:B,'작업관리'!E:E,"")</f>
        <v/>
      </c>
      <c r="N38" s="17">
        <f>_xlfn.XLOOKUP(A38,'작업관리'!B:B,'작업관리'!F:F,"")</f>
        <v/>
      </c>
      <c r="O38" s="17">
        <f>_xlfn.XLOOKUP(A38,'작업관리'!B:B,'작업관리'!G:G,"")</f>
        <v/>
      </c>
      <c r="P38" s="18" t="n">
        <v>46387</v>
      </c>
      <c r="Q38" s="17">
        <f>IF(N38="완료","완료",IF(N38="보류","보류",IF(N38="진행 중",IF(P38&lt;TODAY(),"딜레이","진행중"),IF(P38&lt;TODAY(),"딜레이",IF(TODAY()&gt;=DATE(YEAR(P38),MONTH(P38)-2,1),"임박","예정")))))</f>
        <v/>
      </c>
      <c r="R38" s="19">
        <f>IF(OR(N38="완료",N38="보류"),"-",IF(P38&lt;TODAY(),TODAY()-P38,""))</f>
        <v/>
      </c>
    </row>
    <row r="39" ht="18" customHeight="1">
      <c r="A39" s="14" t="inlineStr">
        <is>
          <t>엘리트 변종 2종 (광폭화·소환사)</t>
        </is>
      </c>
      <c r="B39" s="16" t="n"/>
      <c r="C39" s="16" t="n"/>
      <c r="D39" s="21" t="inlineStr">
        <is>
          <t>✓</t>
        </is>
      </c>
      <c r="E39" s="16" t="n"/>
      <c r="F39" s="16" t="n"/>
      <c r="G39" s="16" t="n"/>
      <c r="H39" s="16" t="n"/>
      <c r="I39" s="16" t="n"/>
      <c r="J39" s="16" t="n"/>
      <c r="K39" s="16" t="n"/>
      <c r="L39" s="16" t="n"/>
      <c r="M39" s="17">
        <f>_xlfn.XLOOKUP(A39,'작업관리'!B:B,'작업관리'!E:E,"")</f>
        <v/>
      </c>
      <c r="N39" s="17">
        <f>_xlfn.XLOOKUP(A39,'작업관리'!B:B,'작업관리'!F:F,"")</f>
        <v/>
      </c>
      <c r="O39" s="17">
        <f>_xlfn.XLOOKUP(A39,'작업관리'!B:B,'작업관리'!G:G,"")</f>
        <v/>
      </c>
      <c r="P39" s="18" t="n">
        <v>46387</v>
      </c>
      <c r="Q39" s="17">
        <f>IF(N39="완료","완료",IF(N39="보류","보류",IF(N39="진행 중",IF(P39&lt;TODAY(),"딜레이","진행중"),IF(P39&lt;TODAY(),"딜레이",IF(TODAY()&gt;=DATE(YEAR(P39),MONTH(P39)-2,1),"임박","예정")))))</f>
        <v/>
      </c>
      <c r="R39" s="19">
        <f>IF(OR(N39="완료",N39="보류"),"-",IF(P39&lt;TODAY(),TODAY()-P39,""))</f>
        <v/>
      </c>
    </row>
    <row r="40" ht="18" customHeight="1">
      <c r="A40" s="14" t="inlineStr">
        <is>
          <t>스테이지 4~5 신규 적 풀 (각 6~7종)</t>
        </is>
      </c>
      <c r="B40" s="16" t="n"/>
      <c r="C40" s="16" t="n"/>
      <c r="D40" s="16" t="n"/>
      <c r="E40" s="22" t="n"/>
      <c r="F40" s="23" t="n"/>
      <c r="G40" s="16" t="n"/>
      <c r="H40" s="16" t="n"/>
      <c r="I40" s="16" t="n"/>
      <c r="J40" s="16" t="n"/>
      <c r="K40" s="16" t="n"/>
      <c r="L40" s="16" t="n"/>
      <c r="M40" s="17">
        <f>_xlfn.XLOOKUP(A40,'작업관리'!B:B,'작업관리'!E:E,"")</f>
        <v/>
      </c>
      <c r="N40" s="17">
        <f>_xlfn.XLOOKUP(A40,'작업관리'!B:B,'작업관리'!F:F,"")</f>
        <v/>
      </c>
      <c r="O40" s="17">
        <f>_xlfn.XLOOKUP(A40,'작업관리'!B:B,'작업관리'!G:G,"")</f>
        <v/>
      </c>
      <c r="P40" s="18" t="n">
        <v>46568</v>
      </c>
      <c r="Q40" s="17">
        <f>IF(N40="완료","완료",IF(N40="보류","보류",IF(N40="진행 중",IF(P40&lt;TODAY(),"딜레이","진행중"),IF(P40&lt;TODAY(),"딜레이",IF(TODAY()&gt;=DATE(YEAR(P40),MONTH(P40)-2,1),"임박","예정")))))</f>
        <v/>
      </c>
      <c r="R40" s="19">
        <f>IF(OR(N40="완료",N40="보류"),"-",IF(P40&lt;TODAY(),TODAY()-P40,""))</f>
        <v/>
      </c>
    </row>
    <row r="41" ht="18" customHeight="1">
      <c r="A41" s="14" t="inlineStr">
        <is>
          <t>환경 트랩 NPC (터렛·낙석)</t>
        </is>
      </c>
      <c r="B41" s="16" t="n"/>
      <c r="C41" s="16" t="n"/>
      <c r="D41" s="16" t="n"/>
      <c r="E41" s="16" t="n"/>
      <c r="F41" s="23" t="n"/>
      <c r="G41" s="16" t="n"/>
      <c r="H41" s="16" t="n"/>
      <c r="I41" s="16" t="n"/>
      <c r="J41" s="16" t="n"/>
      <c r="K41" s="16" t="n"/>
      <c r="L41" s="16" t="n"/>
      <c r="M41" s="17">
        <f>_xlfn.XLOOKUP(A41,'작업관리'!B:B,'작업관리'!E:E,"")</f>
        <v/>
      </c>
      <c r="N41" s="17">
        <f>_xlfn.XLOOKUP(A41,'작업관리'!B:B,'작업관리'!F:F,"")</f>
        <v/>
      </c>
      <c r="O41" s="17">
        <f>_xlfn.XLOOKUP(A41,'작업관리'!B:B,'작업관리'!G:G,"")</f>
        <v/>
      </c>
      <c r="P41" s="18" t="n">
        <v>46568</v>
      </c>
      <c r="Q41" s="17">
        <f>IF(N41="완료","완료",IF(N41="보류","보류",IF(N41="진행 중",IF(P41&lt;TODAY(),"딜레이","진행중"),IF(P41&lt;TODAY(),"딜레이",IF(TODAY()&gt;=DATE(YEAR(P41),MONTH(P41)-2,1),"임박","예정")))))</f>
        <v/>
      </c>
      <c r="R41" s="19">
        <f>IF(OR(N41="완료",N41="보류"),"-",IF(P41&lt;TODAY(),TODAY()-P41,""))</f>
        <v/>
      </c>
    </row>
    <row r="42" ht="18" customHeight="1">
      <c r="A42" s="14" t="inlineStr">
        <is>
          <t>히든·도전 모드 적 5~7종</t>
        </is>
      </c>
      <c r="B42" s="16" t="n"/>
      <c r="C42" s="16" t="n"/>
      <c r="D42" s="16" t="n"/>
      <c r="E42" s="16" t="n"/>
      <c r="F42" s="16" t="n"/>
      <c r="G42" s="16" t="n"/>
      <c r="H42" s="16" t="n"/>
      <c r="I42" s="16" t="n"/>
      <c r="J42" s="16" t="n"/>
      <c r="K42" s="16" t="n"/>
      <c r="L42" s="26" t="inlineStr">
        <is>
          <t>H</t>
        </is>
      </c>
      <c r="M42" s="17">
        <f>_xlfn.XLOOKUP(A42,'작업관리'!B:B,'작업관리'!E:E,"")</f>
        <v/>
      </c>
      <c r="N42" s="17">
        <f>_xlfn.XLOOKUP(A42,'작업관리'!B:B,'작업관리'!F:F,"")</f>
        <v/>
      </c>
      <c r="O42" s="17">
        <f>_xlfn.XLOOKUP(A42,'작업관리'!B:B,'작업관리'!G:G,"")</f>
        <v/>
      </c>
      <c r="P42" s="18" t="n">
        <v>47118</v>
      </c>
      <c r="Q42" s="17">
        <f>IF(N42="완료","완료",IF(N42="보류","보류",IF(N42="진행 중",IF(P42&lt;TODAY(),"딜레이","진행중"),IF(P42&lt;TODAY(),"딜레이",IF(TODAY()&gt;=DATE(YEAR(P42),MONTH(P42)-2,1),"임박","예정")))))</f>
        <v/>
      </c>
      <c r="R42" s="19">
        <f>IF(OR(N42="완료",N42="보류"),"-",IF(P42&lt;TODAY(),TODAY()-P42,""))</f>
        <v/>
      </c>
    </row>
    <row r="43" ht="20" customHeight="1">
      <c r="A43" s="13" t="inlineStr">
        <is>
          <t>보스 (Bosses) — 10~12종 목표 ↗ (문서 열기)</t>
        </is>
      </c>
    </row>
    <row r="44" ht="18" customHeight="1">
      <c r="A44" s="14" t="inlineStr">
        <is>
          <t>보스 페이즈 탄막 패턴 (부채꼴 볼리, 공통)</t>
        </is>
      </c>
      <c r="B44" s="15" t="inlineStr">
        <is>
          <t>✓</t>
        </is>
      </c>
      <c r="C44" s="16" t="n"/>
      <c r="D44" s="16" t="n"/>
      <c r="E44" s="16" t="n"/>
      <c r="F44" s="16" t="n"/>
      <c r="G44" s="16" t="n"/>
      <c r="H44" s="16" t="n"/>
      <c r="I44" s="16" t="n"/>
      <c r="J44" s="16" t="n"/>
      <c r="K44" s="16" t="n"/>
      <c r="L44" s="16" t="n"/>
      <c r="M44" s="17">
        <f>_xlfn.XLOOKUP(A44,'작업관리'!B:B,'작업관리'!E:E,"")</f>
        <v/>
      </c>
      <c r="N44" s="17">
        <f>_xlfn.XLOOKUP(A44,'작업관리'!B:B,'작업관리'!F:F,"")</f>
        <v/>
      </c>
      <c r="O44" s="17">
        <f>_xlfn.XLOOKUP(A44,'작업관리'!B:B,'작업관리'!G:G,"")</f>
        <v/>
      </c>
      <c r="P44" s="18" t="n">
        <v>46203</v>
      </c>
      <c r="Q44" s="17">
        <f>IF(N44="완료","완료",IF(N44="보류","보류",IF(N44="진행 중",IF(P44&lt;TODAY(),"딜레이","진행중"),IF(P44&lt;TODAY(),"딜레이",IF(TODAY()&gt;=DATE(YEAR(P44),MONTH(P44)-2,1),"임박","예정")))))</f>
        <v/>
      </c>
      <c r="R44" s="19">
        <f>IF(OR(N44="완료",N44="보류"),"-",IF(P44&lt;TODAY(),TODAY()-P44,""))</f>
        <v/>
      </c>
    </row>
    <row r="45" ht="18" customHeight="1">
      <c r="A45" s="14" t="inlineStr">
        <is>
          <t>보스 고유 패턴 (회전베기/화염브레스/꼬리치기)</t>
        </is>
      </c>
      <c r="B45" s="16" t="n"/>
      <c r="C45" s="20" t="inlineStr">
        <is>
          <t>✓</t>
        </is>
      </c>
      <c r="D45" s="16" t="n"/>
      <c r="E45" s="16" t="n"/>
      <c r="F45" s="16" t="n"/>
      <c r="G45" s="16" t="n"/>
      <c r="H45" s="16" t="n"/>
      <c r="I45" s="16" t="n"/>
      <c r="J45" s="16" t="n"/>
      <c r="K45" s="16" t="n"/>
      <c r="L45" s="16" t="n"/>
      <c r="M45" s="17">
        <f>_xlfn.XLOOKUP(A45,'작업관리'!B:B,'작업관리'!E:E,"")</f>
        <v/>
      </c>
      <c r="N45" s="17">
        <f>_xlfn.XLOOKUP(A45,'작업관리'!B:B,'작업관리'!F:F,"")</f>
        <v/>
      </c>
      <c r="O45" s="17">
        <f>_xlfn.XLOOKUP(A45,'작업관리'!B:B,'작업관리'!G:G,"")</f>
        <v/>
      </c>
      <c r="P45" s="18" t="n">
        <v>46295</v>
      </c>
      <c r="Q45" s="17">
        <f>IF(N45="완료","완료",IF(N45="보류","보류",IF(N45="진행 중",IF(P45&lt;TODAY(),"딜레이","진행중"),IF(P45&lt;TODAY(),"딜레이",IF(TODAY()&gt;=DATE(YEAR(P45),MONTH(P45)-2,1),"임박","예정")))))</f>
        <v/>
      </c>
      <c r="R45" s="19">
        <f>IF(OR(N45="완료",N45="보류"),"-",IF(P45&lt;TODAY(),TODAY()-P45,""))</f>
        <v/>
      </c>
    </row>
    <row r="46" ht="18" customHeight="1">
      <c r="A46" s="14" t="inlineStr">
        <is>
          <t>보스 연출 (예고/SFX/강타 모션/페이즈 전환)</t>
        </is>
      </c>
      <c r="B46" s="16" t="n"/>
      <c r="C46" s="20" t="inlineStr">
        <is>
          <t>✓</t>
        </is>
      </c>
      <c r="D46" s="16" t="n"/>
      <c r="E46" s="16" t="n"/>
      <c r="F46" s="16" t="n"/>
      <c r="G46" s="16" t="n"/>
      <c r="H46" s="16" t="n"/>
      <c r="I46" s="16" t="n"/>
      <c r="J46" s="16" t="n"/>
      <c r="K46" s="16" t="n"/>
      <c r="L46" s="16" t="n"/>
      <c r="M46" s="17">
        <f>_xlfn.XLOOKUP(A46,'작업관리'!B:B,'작업관리'!E:E,"")</f>
        <v/>
      </c>
      <c r="N46" s="17">
        <f>_xlfn.XLOOKUP(A46,'작업관리'!B:B,'작업관리'!F:F,"")</f>
        <v/>
      </c>
      <c r="O46" s="17">
        <f>_xlfn.XLOOKUP(A46,'작업관리'!B:B,'작업관리'!G:G,"")</f>
        <v/>
      </c>
      <c r="P46" s="18" t="n">
        <v>46295</v>
      </c>
      <c r="Q46" s="17">
        <f>IF(N46="완료","완료",IF(N46="보류","보류",IF(N46="진행 중",IF(P46&lt;TODAY(),"딜레이","진행중"),IF(P46&lt;TODAY(),"딜레이",IF(TODAY()&gt;=DATE(YEAR(P46),MONTH(P46)-2,1),"임박","예정")))))</f>
        <v/>
      </c>
      <c r="R46" s="19">
        <f>IF(OR(N46="완료",N46="보류"),"-",IF(P46&lt;TODAY(),TODAY()-P46,""))</f>
        <v/>
      </c>
    </row>
    <row r="47" ht="18" customHeight="1">
      <c r="A47" s="14" t="inlineStr">
        <is>
          <t>BossAbyssKeeper (스테이지 1 최종)</t>
        </is>
      </c>
      <c r="B47" s="15" t="inlineStr">
        <is>
          <t>✓</t>
        </is>
      </c>
      <c r="C47" s="16" t="n"/>
      <c r="D47" s="16" t="n"/>
      <c r="E47" s="16" t="n"/>
      <c r="F47" s="16" t="n"/>
      <c r="G47" s="16" t="n"/>
      <c r="H47" s="16" t="n"/>
      <c r="I47" s="16" t="n"/>
      <c r="J47" s="16" t="n"/>
      <c r="K47" s="16" t="n"/>
      <c r="L47" s="16" t="n"/>
      <c r="M47" s="17">
        <f>_xlfn.XLOOKUP(A47,'작업관리'!B:B,'작업관리'!E:E,"")</f>
        <v/>
      </c>
      <c r="N47" s="17">
        <f>_xlfn.XLOOKUP(A47,'작업관리'!B:B,'작업관리'!F:F,"")</f>
        <v/>
      </c>
      <c r="O47" s="17">
        <f>_xlfn.XLOOKUP(A47,'작업관리'!B:B,'작업관리'!G:G,"")</f>
        <v/>
      </c>
      <c r="P47" s="18" t="n">
        <v>46203</v>
      </c>
      <c r="Q47" s="17">
        <f>IF(N47="완료","완료",IF(N47="보류","보류",IF(N47="진행 중",IF(P47&lt;TODAY(),"딜레이","진행중"),IF(P47&lt;TODAY(),"딜레이",IF(TODAY()&gt;=DATE(YEAR(P47),MONTH(P47)-2,1),"임박","예정")))))</f>
        <v/>
      </c>
      <c r="R47" s="19">
        <f>IF(OR(N47="완료",N47="보류"),"-",IF(P47&lt;TODAY(),TODAY()-P47,""))</f>
        <v/>
      </c>
    </row>
    <row r="48" ht="18" customHeight="1">
      <c r="A48" s="14" t="inlineStr">
        <is>
          <t>BossAbyssKeeper 공격 예고 (근접 0.7/회복 0.5 · 탄막 0.6/0.5/0.4 · 첫 보스 전용 · wave2)</t>
        </is>
      </c>
      <c r="B48" s="16" t="n"/>
      <c r="C48" s="16" t="n"/>
      <c r="D48" s="16" t="n"/>
      <c r="E48" s="37" t="inlineStr">
        <is>
          <t>✓</t>
        </is>
      </c>
      <c r="F48" s="16" t="n"/>
      <c r="G48" s="16" t="n"/>
      <c r="H48" s="16" t="n"/>
      <c r="I48" s="16" t="n"/>
      <c r="J48" s="16" t="n"/>
      <c r="K48" s="16" t="n"/>
      <c r="L48" s="16" t="n"/>
      <c r="M48" s="17">
        <f>_xlfn.XLOOKUP(A48,'작업관리'!B:B,'작업관리'!E:E,"")</f>
        <v/>
      </c>
      <c r="N48" s="17">
        <f>_xlfn.XLOOKUP(A48,'작업관리'!B:B,'작업관리'!F:F,"")</f>
        <v/>
      </c>
      <c r="O48" s="17">
        <f>_xlfn.XLOOKUP(A48,'작업관리'!B:B,'작업관리'!G:G,"")</f>
        <v/>
      </c>
      <c r="P48" s="18" t="n">
        <v>46477</v>
      </c>
      <c r="Q48" s="17">
        <f>IF(N48="완료","완료",IF(N48="보류","보류",IF(N48="진행 중",IF(P48&lt;TODAY(),"딜레이","진행중"),IF(P48&lt;TODAY(),"딜레이",IF(TODAY()&gt;=DATE(YEAR(P48),MONTH(P48)-2,1),"임박","예정")))))</f>
        <v/>
      </c>
      <c r="R48" s="19">
        <f>IF(OR(N48="완료",N48="보류"),"-",IF(P48&lt;TODAY(),TODAY()-P48,""))</f>
        <v/>
      </c>
    </row>
    <row r="49" ht="18" customHeight="1">
      <c r="A49" s="14" t="inlineStr">
        <is>
          <t>BossFlameSerpent (스테이지 2 최종)</t>
        </is>
      </c>
      <c r="B49" s="16" t="n"/>
      <c r="C49" s="20" t="inlineStr">
        <is>
          <t>✓</t>
        </is>
      </c>
      <c r="D49" s="16" t="n"/>
      <c r="E49" s="16" t="n"/>
      <c r="F49" s="16" t="n"/>
      <c r="G49" s="16" t="n"/>
      <c r="H49" s="16" t="n"/>
      <c r="I49" s="16" t="n"/>
      <c r="J49" s="16" t="n"/>
      <c r="K49" s="16" t="n"/>
      <c r="L49" s="16" t="n"/>
      <c r="M49" s="17">
        <f>_xlfn.XLOOKUP(A49,'작업관리'!B:B,'작업관리'!E:E,"")</f>
        <v/>
      </c>
      <c r="N49" s="17">
        <f>_xlfn.XLOOKUP(A49,'작업관리'!B:B,'작업관리'!F:F,"")</f>
        <v/>
      </c>
      <c r="O49" s="17">
        <f>_xlfn.XLOOKUP(A49,'작업관리'!B:B,'작업관리'!G:G,"")</f>
        <v/>
      </c>
      <c r="P49" s="18" t="n">
        <v>46295</v>
      </c>
      <c r="Q49" s="17">
        <f>IF(N49="완료","완료",IF(N49="보류","보류",IF(N49="진행 중",IF(P49&lt;TODAY(),"딜레이","진행중"),IF(P49&lt;TODAY(),"딜레이",IF(TODAY()&gt;=DATE(YEAR(P49),MONTH(P49)-2,1),"임박","예정")))))</f>
        <v/>
      </c>
      <c r="R49" s="19">
        <f>IF(OR(N49="완료",N49="보류"),"-",IF(P49&lt;TODAY(),TODAY()-P49,""))</f>
        <v/>
      </c>
    </row>
    <row r="50" ht="18" customHeight="1">
      <c r="A50" s="14" t="inlineStr">
        <is>
          <t>MidBossSentinel (스테이지 2 중간)</t>
        </is>
      </c>
      <c r="B50" s="16" t="n"/>
      <c r="C50" s="20" t="inlineStr">
        <is>
          <t>✓</t>
        </is>
      </c>
      <c r="D50" s="16" t="n"/>
      <c r="E50" s="16" t="n"/>
      <c r="F50" s="16" t="n"/>
      <c r="G50" s="16" t="n"/>
      <c r="H50" s="16" t="n"/>
      <c r="I50" s="16" t="n"/>
      <c r="J50" s="16" t="n"/>
      <c r="K50" s="16" t="n"/>
      <c r="L50" s="16" t="n"/>
      <c r="M50" s="17">
        <f>_xlfn.XLOOKUP(A50,'작업관리'!B:B,'작업관리'!E:E,"")</f>
        <v/>
      </c>
      <c r="N50" s="17">
        <f>_xlfn.XLOOKUP(A50,'작업관리'!B:B,'작업관리'!F:F,"")</f>
        <v/>
      </c>
      <c r="O50" s="17">
        <f>_xlfn.XLOOKUP(A50,'작업관리'!B:B,'작업관리'!G:G,"")</f>
        <v/>
      </c>
      <c r="P50" s="18" t="n">
        <v>46295</v>
      </c>
      <c r="Q50" s="17">
        <f>IF(N50="완료","완료",IF(N50="보류","보류",IF(N50="진행 중",IF(P50&lt;TODAY(),"딜레이","진행중"),IF(P50&lt;TODAY(),"딜레이",IF(TODAY()&gt;=DATE(YEAR(P50),MONTH(P50)-2,1),"임박","예정")))))</f>
        <v/>
      </c>
      <c r="R50" s="19">
        <f>IF(OR(N50="완료",N50="보류"),"-",IF(P50&lt;TODAY(),TODAY()-P50,""))</f>
        <v/>
      </c>
    </row>
    <row r="51" ht="18" customHeight="1">
      <c r="A51" s="14" t="inlineStr">
        <is>
          <t>BossThronebound (스테이지 3 최종)</t>
        </is>
      </c>
      <c r="B51" s="16" t="n"/>
      <c r="C51" s="16" t="n"/>
      <c r="D51" s="21" t="inlineStr">
        <is>
          <t>✓</t>
        </is>
      </c>
      <c r="E51" s="16" t="n"/>
      <c r="F51" s="16" t="n"/>
      <c r="G51" s="16" t="n"/>
      <c r="H51" s="16" t="n"/>
      <c r="I51" s="16" t="n"/>
      <c r="J51" s="16" t="n"/>
      <c r="K51" s="16" t="n"/>
      <c r="L51" s="16" t="n"/>
      <c r="M51" s="17">
        <f>_xlfn.XLOOKUP(A51,'작업관리'!B:B,'작업관리'!E:E,"")</f>
        <v/>
      </c>
      <c r="N51" s="17">
        <f>_xlfn.XLOOKUP(A51,'작업관리'!B:B,'작업관리'!F:F,"")</f>
        <v/>
      </c>
      <c r="O51" s="17">
        <f>_xlfn.XLOOKUP(A51,'작업관리'!B:B,'작업관리'!G:G,"")</f>
        <v/>
      </c>
      <c r="P51" s="18" t="n">
        <v>46387</v>
      </c>
      <c r="Q51" s="17">
        <f>IF(N51="완료","완료",IF(N51="보류","보류",IF(N51="진행 중",IF(P51&lt;TODAY(),"딜레이","진행중"),IF(P51&lt;TODAY(),"딜레이",IF(TODAY()&gt;=DATE(YEAR(P51),MONTH(P51)-2,1),"임박","예정")))))</f>
        <v/>
      </c>
      <c r="R51" s="19">
        <f>IF(OR(N51="완료",N51="보류"),"-",IF(P51&lt;TODAY(),TODAY()-P51,""))</f>
        <v/>
      </c>
    </row>
    <row r="52" ht="18" customHeight="1">
      <c r="A52" s="14" t="inlineStr">
        <is>
          <t>MidBossThroneWarden (스테이지 3 중간)</t>
        </is>
      </c>
      <c r="B52" s="16" t="n"/>
      <c r="C52" s="16" t="n"/>
      <c r="D52" s="21" t="inlineStr">
        <is>
          <t>✓</t>
        </is>
      </c>
      <c r="E52" s="16" t="n"/>
      <c r="F52" s="16" t="n"/>
      <c r="G52" s="16" t="n"/>
      <c r="H52" s="16" t="n"/>
      <c r="I52" s="16" t="n"/>
      <c r="J52" s="16" t="n"/>
      <c r="K52" s="16" t="n"/>
      <c r="L52" s="16" t="n"/>
      <c r="M52" s="17">
        <f>_xlfn.XLOOKUP(A52,'작업관리'!B:B,'작업관리'!E:E,"")</f>
        <v/>
      </c>
      <c r="N52" s="17">
        <f>_xlfn.XLOOKUP(A52,'작업관리'!B:B,'작업관리'!F:F,"")</f>
        <v/>
      </c>
      <c r="O52" s="17">
        <f>_xlfn.XLOOKUP(A52,'작업관리'!B:B,'작업관리'!G:G,"")</f>
        <v/>
      </c>
      <c r="P52" s="18" t="n">
        <v>46387</v>
      </c>
      <c r="Q52" s="17">
        <f>IF(N52="완료","완료",IF(N52="보류","보류",IF(N52="진행 중",IF(P52&lt;TODAY(),"딜레이","진행중"),IF(P52&lt;TODAY(),"딜레이",IF(TODAY()&gt;=DATE(YEAR(P52),MONTH(P52)-2,1),"임박","예정")))))</f>
        <v/>
      </c>
      <c r="R52" s="19">
        <f>IF(OR(N52="완료",N52="보류"),"-",IF(P52&lt;TODAY(),TODAY()-P52,""))</f>
        <v/>
      </c>
    </row>
    <row r="53" ht="18" customHeight="1">
      <c r="A53" s="14" t="inlineStr">
        <is>
          <t>보스 등장 카드·상단 체력바·페이즈/처치 대사·처치 슬로 (5종 · 규칙 키 Boss_*)</t>
        </is>
      </c>
      <c r="B53" s="16" t="n"/>
      <c r="C53" s="16" t="n"/>
      <c r="D53" s="16" t="n"/>
      <c r="E53" s="37" t="inlineStr">
        <is>
          <t>✓</t>
        </is>
      </c>
      <c r="F53" s="16" t="n"/>
      <c r="G53" s="16" t="n"/>
      <c r="H53" s="16" t="n"/>
      <c r="I53" s="16" t="n"/>
      <c r="J53" s="16" t="n"/>
      <c r="K53" s="16" t="n"/>
      <c r="L53" s="16" t="n"/>
      <c r="M53" s="17">
        <f>_xlfn.XLOOKUP(A53,'작업관리'!B:B,'작업관리'!E:E,"")</f>
        <v/>
      </c>
      <c r="N53" s="17">
        <f>_xlfn.XLOOKUP(A53,'작업관리'!B:B,'작업관리'!F:F,"")</f>
        <v/>
      </c>
      <c r="O53" s="17">
        <f>_xlfn.XLOOKUP(A53,'작업관리'!B:B,'작업관리'!G:G,"")</f>
        <v/>
      </c>
      <c r="P53" s="18" t="n">
        <v>46477</v>
      </c>
      <c r="Q53" s="17">
        <f>IF(N53="완료","완료",IF(N53="보류","보류",IF(N53="진행 중",IF(P53&lt;TODAY(),"딜레이","진행중"),IF(P53&lt;TODAY(),"딜레이",IF(TODAY()&gt;=DATE(YEAR(P53),MONTH(P53)-2,1),"임박","예정")))))</f>
        <v/>
      </c>
      <c r="R53" s="19">
        <f>IF(OR(N53="완료",N53="보류"),"-",IF(P53&lt;TODAY(),TODAY()-P53,""))</f>
        <v/>
      </c>
    </row>
    <row r="54" ht="18" customHeight="1">
      <c r="A54" s="14" t="inlineStr">
        <is>
          <t>스크롤 맵 전환 (Stage1~3 전 방 맵 방 · 배치+추가 소환 · 보상 문 · 17번 설계)</t>
        </is>
      </c>
      <c r="B54" s="16" t="n"/>
      <c r="C54" s="16" t="n"/>
      <c r="D54" s="16" t="n"/>
      <c r="E54" s="37" t="inlineStr">
        <is>
          <t>✓</t>
        </is>
      </c>
      <c r="F54" s="16" t="n"/>
      <c r="G54" s="16" t="n"/>
      <c r="H54" s="16" t="n"/>
      <c r="I54" s="16" t="n"/>
      <c r="J54" s="16" t="n"/>
      <c r="K54" s="16" t="n"/>
      <c r="L54" s="16" t="n"/>
      <c r="M54" s="17">
        <f>_xlfn.XLOOKUP(A54,'작업관리'!B:B,'작업관리'!E:E,"")</f>
        <v/>
      </c>
      <c r="N54" s="17">
        <f>_xlfn.XLOOKUP(A54,'작업관리'!B:B,'작업관리'!F:F,"")</f>
        <v/>
      </c>
      <c r="O54" s="17">
        <f>_xlfn.XLOOKUP(A54,'작업관리'!B:B,'작업관리'!G:G,"")</f>
        <v/>
      </c>
      <c r="P54" s="18" t="n">
        <v>46477</v>
      </c>
      <c r="Q54" s="17">
        <f>IF(N54="완료","완료",IF(N54="보류","보류",IF(N54="진행 중",IF(P54&lt;TODAY(),"딜레이","진행중"),IF(P54&lt;TODAY(),"딜레이",IF(TODAY()&gt;=DATE(YEAR(P54),MONTH(P54)-2,1),"임박","예정")))))</f>
        <v/>
      </c>
      <c r="R54" s="19">
        <f>IF(OR(N54="완료",N54="보류"),"-",IF(P54&lt;TODAY(),TODAY()-P54,""))</f>
        <v/>
      </c>
    </row>
    <row r="55" ht="18" customHeight="1">
      <c r="A55" s="14" t="inlineStr">
        <is>
          <t>스테이지 전환 추락 연출 (StageFallPanel · 첫 방 공중 낙하)</t>
        </is>
      </c>
      <c r="B55" s="16" t="n"/>
      <c r="C55" s="16" t="n"/>
      <c r="D55" s="16" t="n"/>
      <c r="E55" s="37" t="inlineStr">
        <is>
          <t>✓</t>
        </is>
      </c>
      <c r="F55" s="16" t="n"/>
      <c r="G55" s="16" t="n"/>
      <c r="H55" s="16" t="n"/>
      <c r="I55" s="16" t="n"/>
      <c r="J55" s="16" t="n"/>
      <c r="K55" s="16" t="n"/>
      <c r="L55" s="16" t="n"/>
      <c r="M55" s="17">
        <f>_xlfn.XLOOKUP(A55,'작업관리'!B:B,'작업관리'!E:E,"")</f>
        <v/>
      </c>
      <c r="N55" s="17">
        <f>_xlfn.XLOOKUP(A55,'작업관리'!B:B,'작업관리'!F:F,"")</f>
        <v/>
      </c>
      <c r="O55" s="17">
        <f>_xlfn.XLOOKUP(A55,'작업관리'!B:B,'작업관리'!G:G,"")</f>
        <v/>
      </c>
      <c r="P55" s="18" t="n">
        <v>46477</v>
      </c>
      <c r="Q55" s="17">
        <f>IF(N55="완료","완료",IF(N55="보류","보류",IF(N55="진행 중",IF(P55&lt;TODAY(),"딜레이","진행중"),IF(P55&lt;TODAY(),"딜레이",IF(TODAY()&gt;=DATE(YEAR(P55),MONTH(P55)-2,1),"임박","예정")))))</f>
        <v/>
      </c>
      <c r="R55" s="19">
        <f>IF(OR(N55="완료",N55="보류"),"-",IF(P55&lt;TODAY(),TODAY()-P55,""))</f>
        <v/>
      </c>
    </row>
    <row r="56" ht="18" customHeight="1">
      <c r="A56" s="14" t="inlineStr">
        <is>
          <t>스크롤 맵 A2 — 소환 예고·클리어 연출·문 점등</t>
        </is>
      </c>
      <c r="B56" s="16" t="n"/>
      <c r="C56" s="16" t="n"/>
      <c r="D56" s="16" t="n"/>
      <c r="E56" s="16" t="n"/>
      <c r="F56" s="38" t="inlineStr">
        <is>
          <t>✓</t>
        </is>
      </c>
      <c r="G56" s="16" t="n"/>
      <c r="H56" s="16" t="n"/>
      <c r="I56" s="16" t="n"/>
      <c r="J56" s="16" t="n"/>
      <c r="K56" s="16" t="n"/>
      <c r="L56" s="16" t="n"/>
      <c r="M56" s="17">
        <f>_xlfn.XLOOKUP(A56,'작업관리'!B:B,'작업관리'!E:E,"")</f>
        <v/>
      </c>
      <c r="N56" s="17">
        <f>_xlfn.XLOOKUP(A56,'작업관리'!B:B,'작업관리'!F:F,"")</f>
        <v/>
      </c>
      <c r="O56" s="17">
        <f>_xlfn.XLOOKUP(A56,'작업관리'!B:B,'작업관리'!G:G,"")</f>
        <v/>
      </c>
      <c r="P56" s="18" t="n">
        <v>46568</v>
      </c>
      <c r="Q56" s="17">
        <f>IF(N56="완료","완료",IF(N56="보류","보류",IF(N56="진행 중",IF(P56&lt;TODAY(),"딜레이","진행중"),IF(P56&lt;TODAY(),"딜레이",IF(TODAY()&gt;=DATE(YEAR(P56),MONTH(P56)-2,1),"임박","예정")))))</f>
        <v/>
      </c>
      <c r="R56" s="19">
        <f>IF(OR(N56="완료",N56="보류"),"-",IF(P56&lt;TODAY(),TODAY()-P56,""))</f>
        <v/>
      </c>
    </row>
    <row r="57" ht="18" customHeight="1">
      <c r="A57" s="14" t="inlineStr">
        <is>
          <t>스크롤 맵 방별 배치·추가 소환 설계 (현재 흩어 스폰)</t>
        </is>
      </c>
      <c r="B57" s="16" t="n"/>
      <c r="C57" s="16" t="n"/>
      <c r="D57" s="16" t="n"/>
      <c r="E57" s="16" t="n"/>
      <c r="F57" s="38" t="inlineStr">
        <is>
          <t>✓</t>
        </is>
      </c>
      <c r="G57" s="16" t="n"/>
      <c r="H57" s="16" t="n"/>
      <c r="I57" s="16" t="n"/>
      <c r="J57" s="16" t="n"/>
      <c r="K57" s="16" t="n"/>
      <c r="L57" s="16" t="n"/>
      <c r="M57" s="17">
        <f>_xlfn.XLOOKUP(A57,'작업관리'!B:B,'작업관리'!E:E,"")</f>
        <v/>
      </c>
      <c r="N57" s="17">
        <f>_xlfn.XLOOKUP(A57,'작업관리'!B:B,'작업관리'!F:F,"")</f>
        <v/>
      </c>
      <c r="O57" s="17">
        <f>_xlfn.XLOOKUP(A57,'작업관리'!B:B,'작업관리'!G:G,"")</f>
        <v/>
      </c>
      <c r="P57" s="18" t="n">
        <v>46568</v>
      </c>
      <c r="Q57" s="17">
        <f>IF(N57="완료","완료",IF(N57="보류","보류",IF(N57="진행 중",IF(P57&lt;TODAY(),"딜레이","진행중"),IF(P57&lt;TODAY(),"딜레이",IF(TODAY()&gt;=DATE(YEAR(P57),MONTH(P57)-2,1),"임박","예정")))))</f>
        <v/>
      </c>
      <c r="R57" s="19">
        <f>IF(OR(N57="완료",N57="보류"),"-",IF(P57&lt;TODAY(),TODAY()-P57,""))</f>
        <v/>
      </c>
    </row>
    <row r="58" ht="18" customHeight="1">
      <c r="A58" s="14" t="inlineStr">
        <is>
          <t>MidBossPlagueWarden (스테이지 4 중간)</t>
        </is>
      </c>
      <c r="B58" s="16" t="n"/>
      <c r="C58" s="16" t="n"/>
      <c r="D58" s="16" t="n"/>
      <c r="E58" s="22" t="n"/>
      <c r="F58" s="16" t="n"/>
      <c r="G58" s="16" t="n"/>
      <c r="H58" s="16" t="n"/>
      <c r="I58" s="16" t="n"/>
      <c r="J58" s="16" t="n"/>
      <c r="K58" s="16" t="n"/>
      <c r="L58" s="16" t="n"/>
      <c r="M58" s="17">
        <f>_xlfn.XLOOKUP(A58,'작업관리'!B:B,'작업관리'!E:E,"")</f>
        <v/>
      </c>
      <c r="N58" s="17">
        <f>_xlfn.XLOOKUP(A58,'작업관리'!B:B,'작업관리'!F:F,"")</f>
        <v/>
      </c>
      <c r="O58" s="17">
        <f>_xlfn.XLOOKUP(A58,'작업관리'!B:B,'작업관리'!G:G,"")</f>
        <v/>
      </c>
      <c r="P58" s="18" t="n">
        <v>46477</v>
      </c>
      <c r="Q58" s="17">
        <f>IF(N58="완료","완료",IF(N58="보류","보류",IF(N58="진행 중",IF(P58&lt;TODAY(),"딜레이","진행중"),IF(P58&lt;TODAY(),"딜레이",IF(TODAY()&gt;=DATE(YEAR(P58),MONTH(P58)-2,1),"임박","예정")))))</f>
        <v/>
      </c>
      <c r="R58" s="19">
        <f>IF(OR(N58="완료",N58="보류"),"-",IF(P58&lt;TODAY(),TODAY()-P58,""))</f>
        <v/>
      </c>
    </row>
    <row r="59" ht="18" customHeight="1">
      <c r="A59" s="14" t="inlineStr">
        <is>
          <t>BossFrostKing (스테이지 4 최종)</t>
        </is>
      </c>
      <c r="B59" s="16" t="n"/>
      <c r="C59" s="16" t="n"/>
      <c r="D59" s="16" t="n"/>
      <c r="E59" s="22" t="n"/>
      <c r="F59" s="16" t="n"/>
      <c r="G59" s="16" t="n"/>
      <c r="H59" s="16" t="n"/>
      <c r="I59" s="16" t="n"/>
      <c r="J59" s="16" t="n"/>
      <c r="K59" s="16" t="n"/>
      <c r="L59" s="16" t="n"/>
      <c r="M59" s="17">
        <f>_xlfn.XLOOKUP(A59,'작업관리'!B:B,'작업관리'!E:E,"")</f>
        <v/>
      </c>
      <c r="N59" s="17">
        <f>_xlfn.XLOOKUP(A59,'작업관리'!B:B,'작업관리'!F:F,"")</f>
        <v/>
      </c>
      <c r="O59" s="17">
        <f>_xlfn.XLOOKUP(A59,'작업관리'!B:B,'작업관리'!G:G,"")</f>
        <v/>
      </c>
      <c r="P59" s="18" t="n">
        <v>46477</v>
      </c>
      <c r="Q59" s="17">
        <f>IF(N59="완료","완료",IF(N59="보류","보류",IF(N59="진행 중",IF(P59&lt;TODAY(),"딜레이","진행중"),IF(P59&lt;TODAY(),"딜레이",IF(TODAY()&gt;=DATE(YEAR(P59),MONTH(P59)-2,1),"임박","예정")))))</f>
        <v/>
      </c>
      <c r="R59" s="19">
        <f>IF(OR(N59="완료",N59="보류"),"-",IF(P59&lt;TODAY(),TODAY()-P59,""))</f>
        <v/>
      </c>
    </row>
    <row r="60" ht="18" customHeight="1">
      <c r="A60" s="14" t="inlineStr">
        <is>
          <t>MidBossClockwork (스테이지 5 중간)</t>
        </is>
      </c>
      <c r="B60" s="16" t="n"/>
      <c r="C60" s="16" t="n"/>
      <c r="D60" s="16" t="n"/>
      <c r="E60" s="16" t="n"/>
      <c r="F60" s="23" t="n"/>
      <c r="G60" s="16" t="n"/>
      <c r="H60" s="16" t="n"/>
      <c r="I60" s="16" t="n"/>
      <c r="J60" s="16" t="n"/>
      <c r="K60" s="16" t="n"/>
      <c r="L60" s="16" t="n"/>
      <c r="M60" s="17">
        <f>_xlfn.XLOOKUP(A60,'작업관리'!B:B,'작업관리'!E:E,"")</f>
        <v/>
      </c>
      <c r="N60" s="17">
        <f>_xlfn.XLOOKUP(A60,'작업관리'!B:B,'작업관리'!F:F,"")</f>
        <v/>
      </c>
      <c r="O60" s="17">
        <f>_xlfn.XLOOKUP(A60,'작업관리'!B:B,'작업관리'!G:G,"")</f>
        <v/>
      </c>
      <c r="P60" s="18" t="n">
        <v>46568</v>
      </c>
      <c r="Q60" s="17">
        <f>IF(N60="완료","완료",IF(N60="보류","보류",IF(N60="진행 중",IF(P60&lt;TODAY(),"딜레이","진행중"),IF(P60&lt;TODAY(),"딜레이",IF(TODAY()&gt;=DATE(YEAR(P60),MONTH(P60)-2,1),"임박","예정")))))</f>
        <v/>
      </c>
      <c r="R60" s="19">
        <f>IF(OR(N60="완료",N60="보류"),"-",IF(P60&lt;TODAY(),TODAY()-P60,""))</f>
        <v/>
      </c>
    </row>
    <row r="61" ht="18" customHeight="1">
      <c r="A61" s="14" t="inlineStr">
        <is>
          <t>BossSoulHarvester (스테이지 5 최종 / EA 보스)</t>
        </is>
      </c>
      <c r="B61" s="16" t="n"/>
      <c r="C61" s="16" t="n"/>
      <c r="D61" s="16" t="n"/>
      <c r="E61" s="16" t="n"/>
      <c r="F61" s="23" t="n"/>
      <c r="G61" s="16" t="n"/>
      <c r="H61" s="16" t="n"/>
      <c r="I61" s="16" t="n"/>
      <c r="J61" s="16" t="n"/>
      <c r="K61" s="16" t="n"/>
      <c r="L61" s="16" t="n"/>
      <c r="M61" s="17">
        <f>_xlfn.XLOOKUP(A61,'작업관리'!B:B,'작업관리'!E:E,"")</f>
        <v/>
      </c>
      <c r="N61" s="17">
        <f>_xlfn.XLOOKUP(A61,'작업관리'!B:B,'작업관리'!F:F,"")</f>
        <v/>
      </c>
      <c r="O61" s="17">
        <f>_xlfn.XLOOKUP(A61,'작업관리'!B:B,'작업관리'!G:G,"")</f>
        <v/>
      </c>
      <c r="P61" s="18" t="n">
        <v>46568</v>
      </c>
      <c r="Q61" s="17">
        <f>IF(N61="완료","완료",IF(N61="보류","보류",IF(N61="진행 중",IF(P61&lt;TODAY(),"딜레이","진행중"),IF(P61&lt;TODAY(),"딜레이",IF(TODAY()&gt;=DATE(YEAR(P61),MONTH(P61)-2,1),"임박","예정")))))</f>
        <v/>
      </c>
      <c r="R61" s="19">
        <f>IF(OR(N61="완료",N61="보류"),"-",IF(P61&lt;TODAY(),TODAY()-P61,""))</f>
        <v/>
      </c>
    </row>
    <row r="62" ht="18" customHeight="1">
      <c r="A62" s="14" t="inlineStr">
        <is>
          <t>BossAbyssEmperor (Act3 최종 / 진엔딩 보스)</t>
        </is>
      </c>
      <c r="B62" s="16" t="n"/>
      <c r="C62" s="16" t="n"/>
      <c r="D62" s="16" t="n"/>
      <c r="E62" s="16" t="n"/>
      <c r="F62" s="16" t="n"/>
      <c r="G62" s="16" t="n"/>
      <c r="H62" s="16" t="n"/>
      <c r="I62" s="16" t="n"/>
      <c r="J62" s="16" t="n"/>
      <c r="K62" s="25" t="n"/>
      <c r="L62" s="16" t="n"/>
      <c r="M62" s="17">
        <f>_xlfn.XLOOKUP(A62,'작업관리'!B:B,'작업관리'!E:E,"")</f>
        <v/>
      </c>
      <c r="N62" s="17">
        <f>_xlfn.XLOOKUP(A62,'작업관리'!B:B,'작업관리'!F:F,"")</f>
        <v/>
      </c>
      <c r="O62" s="17">
        <f>_xlfn.XLOOKUP(A62,'작업관리'!B:B,'작업관리'!G:G,"")</f>
        <v/>
      </c>
      <c r="P62" s="18" t="n">
        <v>47026</v>
      </c>
      <c r="Q62" s="17">
        <f>IF(N62="완료","완료",IF(N62="보류","보류",IF(N62="진행 중",IF(P62&lt;TODAY(),"딜레이","진행중"),IF(P62&lt;TODAY(),"딜레이",IF(TODAY()&gt;=DATE(YEAR(P62),MONTH(P62)-2,1),"임박","예정")))))</f>
        <v/>
      </c>
      <c r="R62" s="19">
        <f>IF(OR(N62="완료",N62="보류"),"-",IF(P62&lt;TODAY(),TODAY()-P62,""))</f>
        <v/>
      </c>
    </row>
    <row r="63" ht="18" customHeight="1">
      <c r="A63" s="14" t="inlineStr">
        <is>
          <t>HiddenBossEcho [히든·도전 모드]</t>
        </is>
      </c>
      <c r="B63" s="16" t="n"/>
      <c r="C63" s="16" t="n"/>
      <c r="D63" s="16" t="n"/>
      <c r="E63" s="16" t="n"/>
      <c r="F63" s="16" t="n"/>
      <c r="G63" s="16" t="n"/>
      <c r="H63" s="16" t="n"/>
      <c r="I63" s="16" t="n"/>
      <c r="J63" s="16" t="n"/>
      <c r="K63" s="16" t="n"/>
      <c r="L63" s="26" t="inlineStr">
        <is>
          <t>H</t>
        </is>
      </c>
      <c r="M63" s="17">
        <f>_xlfn.XLOOKUP(A63,'작업관리'!B:B,'작업관리'!E:E,"")</f>
        <v/>
      </c>
      <c r="N63" s="17">
        <f>_xlfn.XLOOKUP(A63,'작업관리'!B:B,'작업관리'!F:F,"")</f>
        <v/>
      </c>
      <c r="O63" s="17">
        <f>_xlfn.XLOOKUP(A63,'작업관리'!B:B,'작업관리'!G:G,"")</f>
        <v/>
      </c>
      <c r="P63" s="18" t="n">
        <v>47118</v>
      </c>
      <c r="Q63" s="17">
        <f>IF(N63="완료","완료",IF(N63="보류","보류",IF(N63="진행 중",IF(P63&lt;TODAY(),"딜레이","진행중"),IF(P63&lt;TODAY(),"딜레이",IF(TODAY()&gt;=DATE(YEAR(P63),MONTH(P63)-2,1),"임박","예정")))))</f>
        <v/>
      </c>
      <c r="R63" s="19">
        <f>IF(OR(N63="완료",N63="보류"),"-",IF(P63&lt;TODAY(),TODAY()-P63,""))</f>
        <v/>
      </c>
    </row>
    <row r="64" ht="18" customHeight="1">
      <c r="A64" s="14" t="inlineStr">
        <is>
          <t>HiddenBossFirstFallen [히든·진엔딩]</t>
        </is>
      </c>
      <c r="B64" s="16" t="n"/>
      <c r="C64" s="16" t="n"/>
      <c r="D64" s="16" t="n"/>
      <c r="E64" s="16" t="n"/>
      <c r="F64" s="16" t="n"/>
      <c r="G64" s="16" t="n"/>
      <c r="H64" s="16" t="n"/>
      <c r="I64" s="16" t="n"/>
      <c r="J64" s="16" t="n"/>
      <c r="K64" s="16" t="n"/>
      <c r="L64" s="26" t="inlineStr">
        <is>
          <t>H</t>
        </is>
      </c>
      <c r="M64" s="17">
        <f>_xlfn.XLOOKUP(A64,'작업관리'!B:B,'작업관리'!E:E,"")</f>
        <v/>
      </c>
      <c r="N64" s="17">
        <f>_xlfn.XLOOKUP(A64,'작업관리'!B:B,'작업관리'!F:F,"")</f>
        <v/>
      </c>
      <c r="O64" s="17">
        <f>_xlfn.XLOOKUP(A64,'작업관리'!B:B,'작업관리'!G:G,"")</f>
        <v/>
      </c>
      <c r="P64" s="18" t="n">
        <v>47118</v>
      </c>
      <c r="Q64" s="17">
        <f>IF(N64="완료","완료",IF(N64="보류","보류",IF(N64="진행 중",IF(P64&lt;TODAY(),"딜레이","진행중"),IF(P64&lt;TODAY(),"딜레이",IF(TODAY()&gt;=DATE(YEAR(P64),MONTH(P64)-2,1),"임박","예정")))))</f>
        <v/>
      </c>
      <c r="R64" s="19">
        <f>IF(OR(N64="완료",N64="보류"),"-",IF(P64&lt;TODAY(),TODAY()-P64,""))</f>
        <v/>
      </c>
    </row>
    <row r="65" ht="20" customHeight="1">
      <c r="A65" s="13" t="inlineStr">
        <is>
          <t>스테이지·방 타입 (Stages &amp; Rooms) ↗ (문서 열기)</t>
        </is>
      </c>
    </row>
    <row r="66" ht="18" customHeight="1">
      <c r="A66" s="14" t="inlineStr">
        <is>
          <t>Stage 1 — 균열의 입구</t>
        </is>
      </c>
      <c r="B66" s="15" t="inlineStr">
        <is>
          <t>✓</t>
        </is>
      </c>
      <c r="C66" s="16" t="n"/>
      <c r="D66" s="16" t="n"/>
      <c r="E66" s="16" t="n"/>
      <c r="F66" s="16" t="n"/>
      <c r="G66" s="16" t="n"/>
      <c r="H66" s="16" t="n"/>
      <c r="I66" s="16" t="n"/>
      <c r="J66" s="16" t="n"/>
      <c r="K66" s="16" t="n"/>
      <c r="L66" s="16" t="n"/>
      <c r="M66" s="17">
        <f>_xlfn.XLOOKUP(A66,'작업관리'!B:B,'작업관리'!E:E,"")</f>
        <v/>
      </c>
      <c r="N66" s="17">
        <f>_xlfn.XLOOKUP(A66,'작업관리'!B:B,'작업관리'!F:F,"")</f>
        <v/>
      </c>
      <c r="O66" s="17">
        <f>_xlfn.XLOOKUP(A66,'작업관리'!B:B,'작업관리'!G:G,"")</f>
        <v/>
      </c>
      <c r="P66" s="18" t="n">
        <v>46203</v>
      </c>
      <c r="Q66" s="17">
        <f>IF(N66="완료","완료",IF(N66="보류","보류",IF(N66="진행 중",IF(P66&lt;TODAY(),"딜레이","진행중"),IF(P66&lt;TODAY(),"딜레이",IF(TODAY()&gt;=DATE(YEAR(P66),MONTH(P66)-2,1),"임박","예정")))))</f>
        <v/>
      </c>
      <c r="R66" s="19">
        <f>IF(OR(N66="완료",N66="보류"),"-",IF(P66&lt;TODAY(),TODAY()-P66,""))</f>
        <v/>
      </c>
    </row>
    <row r="67" ht="18" customHeight="1">
      <c r="A67" s="14" t="inlineStr">
        <is>
          <t>Stage 1 룸별 지형 레이아웃 차별화</t>
        </is>
      </c>
      <c r="B67" s="15" t="inlineStr">
        <is>
          <t>✓</t>
        </is>
      </c>
      <c r="C67" s="16" t="n"/>
      <c r="D67" s="16" t="n"/>
      <c r="E67" s="16" t="n"/>
      <c r="F67" s="16" t="n"/>
      <c r="G67" s="16" t="n"/>
      <c r="H67" s="16" t="n"/>
      <c r="I67" s="16" t="n"/>
      <c r="J67" s="16" t="n"/>
      <c r="K67" s="16" t="n"/>
      <c r="L67" s="16" t="n"/>
      <c r="M67" s="17">
        <f>_xlfn.XLOOKUP(A67,'작업관리'!B:B,'작업관리'!E:E,"")</f>
        <v/>
      </c>
      <c r="N67" s="17">
        <f>_xlfn.XLOOKUP(A67,'작업관리'!B:B,'작업관리'!F:F,"")</f>
        <v/>
      </c>
      <c r="O67" s="17">
        <f>_xlfn.XLOOKUP(A67,'작업관리'!B:B,'작업관리'!G:G,"")</f>
        <v/>
      </c>
      <c r="P67" s="18" t="n">
        <v>46203</v>
      </c>
      <c r="Q67" s="17">
        <f>IF(N67="완료","완료",IF(N67="보류","보류",IF(N67="진행 중",IF(P67&lt;TODAY(),"딜레이","진행중"),IF(P67&lt;TODAY(),"딜레이",IF(TODAY()&gt;=DATE(YEAR(P67),MONTH(P67)-2,1),"임박","예정")))))</f>
        <v/>
      </c>
      <c r="R67" s="19">
        <f>IF(OR(N67="완료",N67="보류"),"-",IF(P67&lt;TODAY(),TODAY()-P67,""))</f>
        <v/>
      </c>
    </row>
    <row r="68" ht="18" customHeight="1">
      <c r="A68" s="14" t="inlineStr">
        <is>
          <t>Stage1 대표방 새 환경 · v1 미술 방향 선택 · 연결 구현 (Unity 검증 대기)</t>
        </is>
      </c>
      <c r="B68" s="16" t="n"/>
      <c r="C68" s="39" t="inlineStr">
        <is>
          <t>대표방 사용자 정상변경 확인 완료 · 제목은 콘텐츠 ID 보존용 · 전 방 검증 별도</t>
        </is>
      </c>
      <c r="D68" s="29" t="inlineStr">
        <is>
          <t>대표방 사용자 정상변경 확인 완료 · 제목은 콘텐츠 ID 보존용 · 전 방 검증 별도</t>
        </is>
      </c>
      <c r="E68" s="16" t="n"/>
      <c r="F68" s="16" t="n"/>
      <c r="G68" s="16" t="n"/>
      <c r="H68" s="16" t="n"/>
      <c r="I68" s="16" t="n"/>
      <c r="J68" s="16" t="n"/>
      <c r="K68" s="16" t="n"/>
      <c r="L68" s="16" t="n"/>
      <c r="M68" s="17">
        <f>_xlfn.XLOOKUP(A68,'작업관리'!B:B,'작업관리'!E:E,"")</f>
        <v/>
      </c>
      <c r="N68" s="17">
        <f>_xlfn.XLOOKUP(A68,'작업관리'!B:B,'작업관리'!F:F,"")</f>
        <v/>
      </c>
      <c r="O68" s="17">
        <f>_xlfn.XLOOKUP(A68,'작업관리'!B:B,'작업관리'!G:G,"")</f>
        <v/>
      </c>
      <c r="P68" s="18" t="n">
        <v>46387</v>
      </c>
      <c r="Q68" s="17">
        <f>IF(N68="완료","완료",IF(N68="보류","보류",IF(N68="진행 중",IF(P68&lt;TODAY(),"딜레이","진행중"),IF(P68&lt;TODAY(),"딜레이",IF(TODAY()&gt;=DATE(YEAR(P68),MONTH(P68)-2,1),"임박","예정")))))</f>
        <v/>
      </c>
      <c r="R68" s="19">
        <f>IF(OR(N68="완료",N68="보류"),"-",IF(P68&lt;TODAY(),TODAY()-P68,""))</f>
        <v/>
      </c>
    </row>
    <row r="69" ht="18" customHeight="1">
      <c r="A69" s="14" t="inlineStr">
        <is>
          <t>Stage1 전11방 컨셉 통일 · 플랫포머 이동/고저 레벨 제작</t>
        </is>
      </c>
      <c r="B69" s="16" t="n"/>
      <c r="C69" s="39" t="inlineStr">
        <is>
          <t>구현·Run 씬 적용·커밋/푸시 완료(52d024b) · 전체 플레이 검증 대기 · develop 미병합</t>
        </is>
      </c>
      <c r="D69" s="29" t="inlineStr">
        <is>
          <t>구현·Run 씬 적용·커밋/푸시 완료(52d024b) · 전체 플레이 검증 대기 · develop 미병합</t>
        </is>
      </c>
      <c r="E69" s="16" t="n"/>
      <c r="F69" s="16" t="n"/>
      <c r="G69" s="16" t="n"/>
      <c r="H69" s="16" t="n"/>
      <c r="I69" s="16" t="n"/>
      <c r="J69" s="16" t="n"/>
      <c r="K69" s="16" t="n"/>
      <c r="L69" s="16" t="n"/>
      <c r="M69" s="17">
        <f>_xlfn.XLOOKUP(A69,'작업관리'!B:B,'작업관리'!E:E,"")</f>
        <v/>
      </c>
      <c r="N69" s="17">
        <f>_xlfn.XLOOKUP(A69,'작업관리'!B:B,'작업관리'!F:F,"")</f>
        <v/>
      </c>
      <c r="O69" s="17">
        <f>_xlfn.XLOOKUP(A69,'작업관리'!B:B,'작업관리'!G:G,"")</f>
        <v/>
      </c>
      <c r="P69" s="18" t="n">
        <v>46387</v>
      </c>
      <c r="Q69" s="17">
        <f>IF(N69="완료","완료",IF(N69="보류","보류",IF(N69="진행 중",IF(P69&lt;TODAY(),"딜레이","진행중"),IF(P69&lt;TODAY(),"딜레이",IF(TODAY()&gt;=DATE(YEAR(P69),MONTH(P69)-2,1),"임박","예정")))))</f>
        <v/>
      </c>
      <c r="R69" s="19">
        <f>IF(OR(N69="완료",N69="보류"),"-",IF(P69&lt;TODAY(),TODAY()-P69,""))</f>
        <v/>
      </c>
    </row>
    <row r="70" ht="18" customHeight="1">
      <c r="A70" s="14" t="inlineStr">
        <is>
          <t>Stage 2 — 불꽃의 회랑</t>
        </is>
      </c>
      <c r="B70" s="16" t="n"/>
      <c r="C70" s="20" t="inlineStr">
        <is>
          <t>✓</t>
        </is>
      </c>
      <c r="D70" s="21" t="inlineStr">
        <is>
          <t>✓</t>
        </is>
      </c>
      <c r="E70" s="16" t="n"/>
      <c r="F70" s="16" t="n"/>
      <c r="G70" s="16" t="n"/>
      <c r="H70" s="16" t="n"/>
      <c r="I70" s="16" t="n"/>
      <c r="J70" s="16" t="n"/>
      <c r="K70" s="16" t="n"/>
      <c r="L70" s="16" t="n"/>
      <c r="M70" s="17">
        <f>_xlfn.XLOOKUP(A70,'작업관리'!B:B,'작업관리'!E:E,"")</f>
        <v/>
      </c>
      <c r="N70" s="17">
        <f>_xlfn.XLOOKUP(A70,'작업관리'!B:B,'작업관리'!F:F,"")</f>
        <v/>
      </c>
      <c r="O70" s="17">
        <f>_xlfn.XLOOKUP(A70,'작업관리'!B:B,'작업관리'!G:G,"")</f>
        <v/>
      </c>
      <c r="P70" s="18" t="n">
        <v>46387</v>
      </c>
      <c r="Q70" s="17">
        <f>IF(N70="완료","완료",IF(N70="보류","보류",IF(N70="진행 중",IF(P70&lt;TODAY(),"딜레이","진행중"),IF(P70&lt;TODAY(),"딜레이",IF(TODAY()&gt;=DATE(YEAR(P70),MONTH(P70)-2,1),"임박","예정")))))</f>
        <v/>
      </c>
      <c r="R70" s="19">
        <f>IF(OR(N70="완료",N70="보류"),"-",IF(P70&lt;TODAY(),TODAY()-P70,""))</f>
        <v/>
      </c>
    </row>
    <row r="71" ht="18" customHeight="1">
      <c r="A71" s="14" t="inlineStr">
        <is>
          <t>Stage 2 골격 선행 (Room6+적 스탯+레이아웃)</t>
        </is>
      </c>
      <c r="B71" s="15" t="inlineStr">
        <is>
          <t>✓</t>
        </is>
      </c>
      <c r="C71" s="16" t="n"/>
      <c r="D71" s="16" t="n"/>
      <c r="E71" s="16" t="n"/>
      <c r="F71" s="16" t="n"/>
      <c r="G71" s="16" t="n"/>
      <c r="H71" s="16" t="n"/>
      <c r="I71" s="16" t="n"/>
      <c r="J71" s="16" t="n"/>
      <c r="K71" s="16" t="n"/>
      <c r="L71" s="16" t="n"/>
      <c r="M71" s="17">
        <f>_xlfn.XLOOKUP(A71,'작업관리'!B:B,'작업관리'!E:E,"")</f>
        <v/>
      </c>
      <c r="N71" s="17">
        <f>_xlfn.XLOOKUP(A71,'작업관리'!B:B,'작업관리'!F:F,"")</f>
        <v/>
      </c>
      <c r="O71" s="17">
        <f>_xlfn.XLOOKUP(A71,'작업관리'!B:B,'작업관리'!G:G,"")</f>
        <v/>
      </c>
      <c r="P71" s="18" t="n">
        <v>46203</v>
      </c>
      <c r="Q71" s="17">
        <f>IF(N71="완료","완료",IF(N71="보류","보류",IF(N71="진행 중",IF(P71&lt;TODAY(),"딜레이","진행중"),IF(P71&lt;TODAY(),"딜레이",IF(TODAY()&gt;=DATE(YEAR(P71),MONTH(P71)-2,1),"임박","예정")))))</f>
        <v/>
      </c>
      <c r="R71" s="19">
        <f>IF(OR(N71="완료",N71="보류"),"-",IF(P71&lt;TODAY(),TODAY()-P71,""))</f>
        <v/>
      </c>
    </row>
    <row r="72" ht="18" customHeight="1">
      <c r="A72" s="14" t="inlineStr">
        <is>
          <t>Stage 3 — 왕좌의 잔해</t>
        </is>
      </c>
      <c r="B72" s="16" t="n"/>
      <c r="C72" s="16" t="n"/>
      <c r="D72" s="21" t="inlineStr">
        <is>
          <t>✓</t>
        </is>
      </c>
      <c r="E72" s="16" t="n"/>
      <c r="F72" s="16" t="n"/>
      <c r="G72" s="16" t="n"/>
      <c r="H72" s="16" t="n"/>
      <c r="I72" s="16" t="n"/>
      <c r="J72" s="16" t="n"/>
      <c r="K72" s="16" t="n"/>
      <c r="L72" s="16" t="n"/>
      <c r="M72" s="17">
        <f>_xlfn.XLOOKUP(A72,'작업관리'!B:B,'작업관리'!E:E,"")</f>
        <v/>
      </c>
      <c r="N72" s="17">
        <f>_xlfn.XLOOKUP(A72,'작업관리'!B:B,'작업관리'!F:F,"")</f>
        <v/>
      </c>
      <c r="O72" s="17">
        <f>_xlfn.XLOOKUP(A72,'작업관리'!B:B,'작업관리'!G:G,"")</f>
        <v/>
      </c>
      <c r="P72" s="18" t="n">
        <v>46387</v>
      </c>
      <c r="Q72" s="17">
        <f>IF(N72="완료","완료",IF(N72="보류","보류",IF(N72="진행 중",IF(P72&lt;TODAY(),"딜레이","진행중"),IF(P72&lt;TODAY(),"딜레이",IF(TODAY()&gt;=DATE(YEAR(P72),MONTH(P72)-2,1),"임박","예정")))))</f>
        <v/>
      </c>
      <c r="R72" s="19">
        <f>IF(OR(N72="완료",N72="보류"),"-",IF(P72&lt;TODAY(),TODAY()-P72,""))</f>
        <v/>
      </c>
    </row>
    <row r="73" ht="18" customHeight="1">
      <c r="A73" s="14" t="inlineStr">
        <is>
          <t>Stage 4 — 빙결의 영지</t>
        </is>
      </c>
      <c r="B73" s="16" t="n"/>
      <c r="C73" s="16" t="n"/>
      <c r="D73" s="16" t="n"/>
      <c r="E73" s="22" t="n"/>
      <c r="F73" s="16" t="n"/>
      <c r="G73" s="16" t="n"/>
      <c r="H73" s="16" t="n"/>
      <c r="I73" s="16" t="n"/>
      <c r="J73" s="16" t="n"/>
      <c r="K73" s="16" t="n"/>
      <c r="L73" s="16" t="n"/>
      <c r="M73" s="17">
        <f>_xlfn.XLOOKUP(A73,'작업관리'!B:B,'작업관리'!E:E,"")</f>
        <v/>
      </c>
      <c r="N73" s="17">
        <f>_xlfn.XLOOKUP(A73,'작업관리'!B:B,'작업관리'!F:F,"")</f>
        <v/>
      </c>
      <c r="O73" s="17">
        <f>_xlfn.XLOOKUP(A73,'작업관리'!B:B,'작업관리'!G:G,"")</f>
        <v/>
      </c>
      <c r="P73" s="18" t="n">
        <v>46477</v>
      </c>
      <c r="Q73" s="17">
        <f>IF(N73="완료","완료",IF(N73="보류","보류",IF(N73="진행 중",IF(P73&lt;TODAY(),"딜레이","진행중"),IF(P73&lt;TODAY(),"딜레이",IF(TODAY()&gt;=DATE(YEAR(P73),MONTH(P73)-2,1),"임박","예정")))))</f>
        <v/>
      </c>
      <c r="R73" s="19">
        <f>IF(OR(N73="완료",N73="보류"),"-",IF(P73&lt;TODAY(),TODAY()-P73,""))</f>
        <v/>
      </c>
    </row>
    <row r="74" ht="18" customHeight="1">
      <c r="A74" s="14" t="inlineStr">
        <is>
          <t>Stage 5 — 심연의 핵</t>
        </is>
      </c>
      <c r="B74" s="16" t="n"/>
      <c r="C74" s="16" t="n"/>
      <c r="D74" s="16" t="n"/>
      <c r="E74" s="16" t="n"/>
      <c r="F74" s="23" t="n"/>
      <c r="G74" s="16" t="n"/>
      <c r="H74" s="16" t="n"/>
      <c r="I74" s="16" t="n"/>
      <c r="J74" s="16" t="n"/>
      <c r="K74" s="16" t="n"/>
      <c r="L74" s="16" t="n"/>
      <c r="M74" s="17">
        <f>_xlfn.XLOOKUP(A74,'작업관리'!B:B,'작업관리'!E:E,"")</f>
        <v/>
      </c>
      <c r="N74" s="17">
        <f>_xlfn.XLOOKUP(A74,'작업관리'!B:B,'작업관리'!F:F,"")</f>
        <v/>
      </c>
      <c r="O74" s="17">
        <f>_xlfn.XLOOKUP(A74,'작업관리'!B:B,'작업관리'!G:G,"")</f>
        <v/>
      </c>
      <c r="P74" s="18" t="n">
        <v>46568</v>
      </c>
      <c r="Q74" s="17">
        <f>IF(N74="완료","완료",IF(N74="보류","보류",IF(N74="진행 중",IF(P74&lt;TODAY(),"딜레이","진행중"),IF(P74&lt;TODAY(),"딜레이",IF(TODAY()&gt;=DATE(YEAR(P74),MONTH(P74)-2,1),"임박","예정")))))</f>
        <v/>
      </c>
      <c r="R74" s="19">
        <f>IF(OR(N74="완료",N74="보류"),"-",IF(P74&lt;TODAY(),TODAY()-P74,""))</f>
        <v/>
      </c>
    </row>
    <row r="75" ht="18" customHeight="1">
      <c r="A75" s="14" t="inlineStr">
        <is>
          <t>Hidden Stage — 첫 추락자의 회랑</t>
        </is>
      </c>
      <c r="B75" s="16" t="n"/>
      <c r="C75" s="16" t="n"/>
      <c r="D75" s="16" t="n"/>
      <c r="E75" s="16" t="n"/>
      <c r="F75" s="16" t="n"/>
      <c r="G75" s="16" t="n"/>
      <c r="H75" s="16" t="n"/>
      <c r="I75" s="16" t="n"/>
      <c r="J75" s="16" t="n"/>
      <c r="K75" s="16" t="n"/>
      <c r="L75" s="26" t="inlineStr">
        <is>
          <t>H</t>
        </is>
      </c>
      <c r="M75" s="17">
        <f>_xlfn.XLOOKUP(A75,'작업관리'!B:B,'작업관리'!E:E,"")</f>
        <v/>
      </c>
      <c r="N75" s="17">
        <f>_xlfn.XLOOKUP(A75,'작업관리'!B:B,'작업관리'!F:F,"")</f>
        <v/>
      </c>
      <c r="O75" s="17">
        <f>_xlfn.XLOOKUP(A75,'작업관리'!B:B,'작업관리'!G:G,"")</f>
        <v/>
      </c>
      <c r="P75" s="18" t="n">
        <v>47118</v>
      </c>
      <c r="Q75" s="17">
        <f>IF(N75="완료","완료",IF(N75="보류","보류",IF(N75="진행 중",IF(P75&lt;TODAY(),"딜레이","진행중"),IF(P75&lt;TODAY(),"딜레이",IF(TODAY()&gt;=DATE(YEAR(P75),MONTH(P75)-2,1),"임박","예정")))))</f>
        <v/>
      </c>
      <c r="R75" s="19">
        <f>IF(OR(N75="완료",N75="보류"),"-",IF(P75&lt;TODAY(),TODAY()-P75,""))</f>
        <v/>
      </c>
    </row>
    <row r="76" ht="18" customHeight="1">
      <c r="A76" s="14" t="inlineStr">
        <is>
          <t>방 타입: 전투/엘리트/보스</t>
        </is>
      </c>
      <c r="B76" s="15" t="inlineStr">
        <is>
          <t>✓</t>
        </is>
      </c>
      <c r="C76" s="16" t="n"/>
      <c r="D76" s="16" t="n"/>
      <c r="E76" s="16" t="n"/>
      <c r="F76" s="16" t="n"/>
      <c r="G76" s="16" t="n"/>
      <c r="H76" s="16" t="n"/>
      <c r="I76" s="16" t="n"/>
      <c r="J76" s="16" t="n"/>
      <c r="K76" s="16" t="n"/>
      <c r="L76" s="16" t="n"/>
      <c r="M76" s="17">
        <f>_xlfn.XLOOKUP(A76,'작업관리'!B:B,'작업관리'!E:E,"")</f>
        <v/>
      </c>
      <c r="N76" s="17">
        <f>_xlfn.XLOOKUP(A76,'작업관리'!B:B,'작업관리'!F:F,"")</f>
        <v/>
      </c>
      <c r="O76" s="17">
        <f>_xlfn.XLOOKUP(A76,'작업관리'!B:B,'작업관리'!G:G,"")</f>
        <v/>
      </c>
      <c r="P76" s="18" t="n">
        <v>46203</v>
      </c>
      <c r="Q76" s="17">
        <f>IF(N76="완료","완료",IF(N76="보류","보류",IF(N76="진행 중",IF(P76&lt;TODAY(),"딜레이","진행중"),IF(P76&lt;TODAY(),"딜레이",IF(TODAY()&gt;=DATE(YEAR(P76),MONTH(P76)-2,1),"임박","예정")))))</f>
        <v/>
      </c>
      <c r="R76" s="19">
        <f>IF(OR(N76="완료",N76="보류"),"-",IF(P76&lt;TODAY(),TODAY()-P76,""))</f>
        <v/>
      </c>
    </row>
    <row r="77" ht="18" customHeight="1">
      <c r="A77" s="14" t="inlineStr">
        <is>
          <t>방 타입: 이벤트 (분기 선택)</t>
        </is>
      </c>
      <c r="B77" s="16" t="n"/>
      <c r="C77" s="16" t="n"/>
      <c r="D77" s="21" t="inlineStr">
        <is>
          <t>✓</t>
        </is>
      </c>
      <c r="E77" s="16" t="n"/>
      <c r="F77" s="16" t="n"/>
      <c r="G77" s="16" t="n"/>
      <c r="H77" s="16" t="n"/>
      <c r="I77" s="16" t="n"/>
      <c r="J77" s="16" t="n"/>
      <c r="K77" s="16" t="n"/>
      <c r="L77" s="16" t="n"/>
      <c r="M77" s="17">
        <f>_xlfn.XLOOKUP(A77,'작업관리'!B:B,'작업관리'!E:E,"")</f>
        <v/>
      </c>
      <c r="N77" s="17">
        <f>_xlfn.XLOOKUP(A77,'작업관리'!B:B,'작업관리'!F:F,"")</f>
        <v/>
      </c>
      <c r="O77" s="17">
        <f>_xlfn.XLOOKUP(A77,'작업관리'!B:B,'작업관리'!G:G,"")</f>
        <v/>
      </c>
      <c r="P77" s="18" t="n">
        <v>46387</v>
      </c>
      <c r="Q77" s="17">
        <f>IF(N77="완료","완료",IF(N77="보류","보류",IF(N77="진행 중",IF(P77&lt;TODAY(),"딜레이","진행중"),IF(P77&lt;TODAY(),"딜레이",IF(TODAY()&gt;=DATE(YEAR(P77),MONTH(P77)-2,1),"임박","예정")))))</f>
        <v/>
      </c>
      <c r="R77" s="19">
        <f>IF(OR(N77="완료",N77="보류"),"-",IF(P77&lt;TODAY(),TODAY()-P77,""))</f>
        <v/>
      </c>
    </row>
    <row r="78" ht="18" customHeight="1">
      <c r="A78" s="14" t="inlineStr">
        <is>
          <t>방 타입: 휴식 (회복 vs 강화)</t>
        </is>
      </c>
      <c r="B78" s="16" t="n"/>
      <c r="C78" s="16" t="n"/>
      <c r="D78" s="21" t="inlineStr">
        <is>
          <t>✓</t>
        </is>
      </c>
      <c r="E78" s="16" t="n"/>
      <c r="F78" s="16" t="n"/>
      <c r="G78" s="16" t="n"/>
      <c r="H78" s="16" t="n"/>
      <c r="I78" s="16" t="n"/>
      <c r="J78" s="16" t="n"/>
      <c r="K78" s="16" t="n"/>
      <c r="L78" s="16" t="n"/>
      <c r="M78" s="17">
        <f>_xlfn.XLOOKUP(A78,'작업관리'!B:B,'작업관리'!E:E,"")</f>
        <v/>
      </c>
      <c r="N78" s="17">
        <f>_xlfn.XLOOKUP(A78,'작업관리'!B:B,'작업관리'!F:F,"")</f>
        <v/>
      </c>
      <c r="O78" s="17">
        <f>_xlfn.XLOOKUP(A78,'작업관리'!B:B,'작업관리'!G:G,"")</f>
        <v/>
      </c>
      <c r="P78" s="18" t="n">
        <v>46387</v>
      </c>
      <c r="Q78" s="17">
        <f>IF(N78="완료","완료",IF(N78="보류","보류",IF(N78="진행 중",IF(P78&lt;TODAY(),"딜레이","진행중"),IF(P78&lt;TODAY(),"딜레이",IF(TODAY()&gt;=DATE(YEAR(P78),MONTH(P78)-2,1),"임박","예정")))))</f>
        <v/>
      </c>
      <c r="R78" s="19">
        <f>IF(OR(N78="완료",N78="보류"),"-",IF(P78&lt;TODAY(),TODAY()-P78,""))</f>
        <v/>
      </c>
    </row>
    <row r="79" ht="18" customHeight="1">
      <c r="A79" s="14" t="inlineStr">
        <is>
          <t>방 타입: 상점 (goldShards 소비처)</t>
        </is>
      </c>
      <c r="B79" s="16" t="n"/>
      <c r="C79" s="16" t="n"/>
      <c r="D79" s="21" t="inlineStr">
        <is>
          <t>✓</t>
        </is>
      </c>
      <c r="E79" s="16" t="n"/>
      <c r="F79" s="16" t="n"/>
      <c r="G79" s="16" t="n"/>
      <c r="H79" s="16" t="n"/>
      <c r="I79" s="16" t="n"/>
      <c r="J79" s="16" t="n"/>
      <c r="K79" s="16" t="n"/>
      <c r="L79" s="16" t="n"/>
      <c r="M79" s="17">
        <f>_xlfn.XLOOKUP(A79,'작업관리'!B:B,'작업관리'!E:E,"")</f>
        <v/>
      </c>
      <c r="N79" s="17">
        <f>_xlfn.XLOOKUP(A79,'작업관리'!B:B,'작업관리'!F:F,"")</f>
        <v/>
      </c>
      <c r="O79" s="17">
        <f>_xlfn.XLOOKUP(A79,'작업관리'!B:B,'작업관리'!G:G,"")</f>
        <v/>
      </c>
      <c r="P79" s="18" t="n">
        <v>46387</v>
      </c>
      <c r="Q79" s="17">
        <f>IF(N79="완료","완료",IF(N79="보류","보류",IF(N79="진행 중",IF(P79&lt;TODAY(),"딜레이","진행중"),IF(P79&lt;TODAY(),"딜레이",IF(TODAY()&gt;=DATE(YEAR(P79),MONTH(P79)-2,1),"임박","예정")))))</f>
        <v/>
      </c>
      <c r="R79" s="19">
        <f>IF(OR(N79="완료",N79="보류"),"-",IF(P79&lt;TODAY(),TODAY()-P79,""))</f>
        <v/>
      </c>
    </row>
    <row r="80" ht="18" customHeight="1">
      <c r="A80" s="14" t="inlineStr">
        <is>
          <t>노드 맵 분기 (단순)</t>
        </is>
      </c>
      <c r="B80" s="16" t="n"/>
      <c r="C80" s="20" t="inlineStr">
        <is>
          <t>✓</t>
        </is>
      </c>
      <c r="D80" s="21" t="inlineStr">
        <is>
          <t>✓</t>
        </is>
      </c>
      <c r="E80" s="16" t="n"/>
      <c r="F80" s="16" t="n"/>
      <c r="G80" s="16" t="n"/>
      <c r="H80" s="16" t="n"/>
      <c r="I80" s="16" t="n"/>
      <c r="J80" s="16" t="n"/>
      <c r="K80" s="16" t="n"/>
      <c r="L80" s="16" t="n"/>
      <c r="M80" s="17">
        <f>_xlfn.XLOOKUP(A80,'작업관리'!B:B,'작업관리'!E:E,"")</f>
        <v/>
      </c>
      <c r="N80" s="17">
        <f>_xlfn.XLOOKUP(A80,'작업관리'!B:B,'작업관리'!F:F,"")</f>
        <v/>
      </c>
      <c r="O80" s="17">
        <f>_xlfn.XLOOKUP(A80,'작업관리'!B:B,'작업관리'!G:G,"")</f>
        <v/>
      </c>
      <c r="P80" s="18" t="n">
        <v>46387</v>
      </c>
      <c r="Q80" s="17">
        <f>IF(N80="완료","완료",IF(N80="보류","보류",IF(N80="진행 중",IF(P80&lt;TODAY(),"딜레이","진행중"),IF(P80&lt;TODAY(),"딜레이",IF(TODAY()&gt;=DATE(YEAR(P80),MONTH(P80)-2,1),"임박","예정")))))</f>
        <v/>
      </c>
      <c r="R80" s="19">
        <f>IF(OR(N80="완료",N80="보류"),"-",IF(P80&lt;TODAY(),TODAY()-P80,""))</f>
        <v/>
      </c>
    </row>
    <row r="81" ht="18" customHeight="1">
      <c r="A81" s="14" t="inlineStr">
        <is>
          <t>보상 문 기반 경로 선택 확장 (월드 문 우선 · 전체 노드 맵은 조건부)</t>
        </is>
      </c>
      <c r="B81" s="16" t="n"/>
      <c r="C81" s="16" t="n"/>
      <c r="D81" s="16" t="n"/>
      <c r="E81" s="22" t="n"/>
      <c r="F81" s="23" t="n"/>
      <c r="G81" s="16" t="n"/>
      <c r="H81" s="16" t="n"/>
      <c r="I81" s="16" t="n"/>
      <c r="J81" s="16" t="n"/>
      <c r="K81" s="16" t="n"/>
      <c r="L81" s="16" t="n"/>
      <c r="M81" s="17">
        <f>_xlfn.XLOOKUP(A81,'작업관리'!B:B,'작업관리'!E:E,"")</f>
        <v/>
      </c>
      <c r="N81" s="17">
        <f>_xlfn.XLOOKUP(A81,'작업관리'!B:B,'작업관리'!F:F,"")</f>
        <v/>
      </c>
      <c r="O81" s="17">
        <f>_xlfn.XLOOKUP(A81,'작업관리'!B:B,'작업관리'!G:G,"")</f>
        <v/>
      </c>
      <c r="P81" s="18" t="n">
        <v>46568</v>
      </c>
      <c r="Q81" s="17">
        <f>IF(N81="완료","완료",IF(N81="보류","보류",IF(N81="진행 중",IF(P81&lt;TODAY(),"딜레이","진행중"),IF(P81&lt;TODAY(),"딜레이",IF(TODAY()&gt;=DATE(YEAR(P81),MONTH(P81)-2,1),"임박","예정")))))</f>
        <v/>
      </c>
      <c r="R81" s="19">
        <f>IF(OR(N81="완료",N81="보류"),"-",IF(P81&lt;TODAY(),TODAY()-P81,""))</f>
        <v/>
      </c>
    </row>
    <row r="82" ht="18" customHeight="1">
      <c r="A82" s="14" t="inlineStr">
        <is>
          <t>Stage1 첫 플레이 행동 기반 튜토리얼</t>
        </is>
      </c>
      <c r="B82" s="16" t="n"/>
      <c r="C82" s="16" t="n"/>
      <c r="D82" s="29" t="inlineStr">
        <is>
          <t>구현·정적 인수 완료 · 키보드/패드 학습·완료/생략 저장 · 사용자 검증대기 (2026-10-04)</t>
        </is>
      </c>
      <c r="E82" s="16" t="n"/>
      <c r="F82" s="16" t="n"/>
      <c r="G82" s="16" t="n"/>
      <c r="H82" s="16" t="n"/>
      <c r="I82" s="16" t="n"/>
      <c r="J82" s="16" t="n"/>
      <c r="K82" s="16" t="n"/>
      <c r="L82" s="16" t="n"/>
      <c r="M82" s="17">
        <f>_xlfn.XLOOKUP(A82,'작업관리'!B:B,'작업관리'!E:E,"")</f>
        <v/>
      </c>
      <c r="N82" s="17">
        <f>_xlfn.XLOOKUP(A82,'작업관리'!B:B,'작업관리'!F:F,"")</f>
        <v/>
      </c>
      <c r="O82" s="17">
        <f>_xlfn.XLOOKUP(A82,'작업관리'!B:B,'작업관리'!G:G,"")</f>
        <v/>
      </c>
      <c r="P82" s="18" t="n">
        <v>46387</v>
      </c>
      <c r="Q82" s="17">
        <f>IF(N82="완료","완료",IF(N82="보류","보류",IF(N82="진행 중",IF(P82&lt;TODAY(),"딜레이","진행중"),IF(P82&lt;TODAY(),"딜레이",IF(TODAY()&gt;=DATE(YEAR(P82),MONTH(P82)-2,1),"임박","예정")))))</f>
        <v/>
      </c>
      <c r="R82" s="19">
        <f>IF(OR(N82="완료",N82="보류"),"-",IF(P82&lt;TODAY(),TODAY()-P82,""))</f>
        <v/>
      </c>
    </row>
    <row r="83" ht="20" customHeight="1">
      <c r="A83" s="13" t="inlineStr">
        <is>
          <t>메타 진행 (Meta Progression) ↗ (문서 열기)</t>
        </is>
      </c>
    </row>
    <row r="84" ht="18" customHeight="1">
      <c r="A84" s="14" t="inlineStr">
        <is>
          <t>심연의 제단 — 영구 업그레이드 (최대HP·공격력)</t>
        </is>
      </c>
      <c r="B84" s="16" t="n"/>
      <c r="C84" s="20" t="inlineStr">
        <is>
          <t>✓</t>
        </is>
      </c>
      <c r="D84" s="16" t="n"/>
      <c r="E84" s="16" t="n"/>
      <c r="F84" s="16" t="n"/>
      <c r="G84" s="16" t="n"/>
      <c r="H84" s="16" t="n"/>
      <c r="I84" s="16" t="n"/>
      <c r="J84" s="16" t="n"/>
      <c r="K84" s="16" t="n"/>
      <c r="L84" s="16" t="n"/>
      <c r="M84" s="17">
        <f>_xlfn.XLOOKUP(A84,'작업관리'!B:B,'작업관리'!E:E,"")</f>
        <v/>
      </c>
      <c r="N84" s="17">
        <f>_xlfn.XLOOKUP(A84,'작업관리'!B:B,'작업관리'!F:F,"")</f>
        <v/>
      </c>
      <c r="O84" s="17">
        <f>_xlfn.XLOOKUP(A84,'작업관리'!B:B,'작업관리'!G:G,"")</f>
        <v/>
      </c>
      <c r="P84" s="18" t="n">
        <v>46295</v>
      </c>
      <c r="Q84" s="17">
        <f>IF(N84="완료","완료",IF(N84="보류","보류",IF(N84="진행 중",IF(P84&lt;TODAY(),"딜레이","진행중"),IF(P84&lt;TODAY(),"딜레이",IF(TODAY()&gt;=DATE(YEAR(P84),MONTH(P84)-2,1),"임박","예정")))))</f>
        <v/>
      </c>
      <c r="R84" s="19">
        <f>IF(OR(N84="완료",N84="보류"),"-",IF(P84&lt;TODAY(),TODAY()-P84,""))</f>
        <v/>
      </c>
    </row>
    <row r="85" ht="18" customHeight="1">
      <c r="A85" s="14" t="inlineStr">
        <is>
          <t>유물 가차 — 잊힌 것들의 좌판 (유물 6종 · 장착 3칸 · 심연 조각 확률 소비처)</t>
        </is>
      </c>
      <c r="B85" s="16" t="n"/>
      <c r="C85" s="16" t="n"/>
      <c r="D85" s="21" t="inlineStr">
        <is>
          <t>✓</t>
        </is>
      </c>
      <c r="E85" s="16" t="n"/>
      <c r="F85" s="16" t="n"/>
      <c r="G85" s="16" t="n"/>
      <c r="H85" s="16" t="n"/>
      <c r="I85" s="16" t="n"/>
      <c r="J85" s="16" t="n"/>
      <c r="K85" s="16" t="n"/>
      <c r="L85" s="16" t="n"/>
      <c r="M85" s="17">
        <f>_xlfn.XLOOKUP(A85,'작업관리'!B:B,'작업관리'!E:E,"")</f>
        <v/>
      </c>
      <c r="N85" s="17">
        <f>_xlfn.XLOOKUP(A85,'작업관리'!B:B,'작업관리'!F:F,"")</f>
        <v/>
      </c>
      <c r="O85" s="17">
        <f>_xlfn.XLOOKUP(A85,'작업관리'!B:B,'작업관리'!G:G,"")</f>
        <v/>
      </c>
      <c r="P85" s="18" t="n">
        <v>46387</v>
      </c>
      <c r="Q85" s="17">
        <f>IF(N85="완료","완료",IF(N85="보류","보류",IF(N85="진행 중",IF(P85&lt;TODAY(),"딜레이","진행중"),IF(P85&lt;TODAY(),"딜레이",IF(TODAY()&gt;=DATE(YEAR(P85),MONTH(P85)-2,1),"임박","예정")))))</f>
        <v/>
      </c>
      <c r="R85" s="19">
        <f>IF(OR(N85="완료",N85="보류"),"-",IF(P85&lt;TODAY(),TODAY()-P85,""))</f>
        <v/>
      </c>
    </row>
    <row r="86" ht="18" customHeight="1">
      <c r="A86" s="14" t="inlineStr">
        <is>
          <t>1단계 해금 (FormC + 스킬 3 + 특전 1)</t>
        </is>
      </c>
      <c r="B86" s="16" t="n"/>
      <c r="C86" s="16" t="n"/>
      <c r="D86" s="29" t="inlineStr">
        <is>
          <t>스킬 3 해금·특전 2 사용자 검증·커밋 51c8cc5 · FormC는 새 폼 대기 (2026-10-06)</t>
        </is>
      </c>
      <c r="E86" s="16" t="n"/>
      <c r="F86" s="16" t="n"/>
      <c r="G86" s="16" t="n"/>
      <c r="H86" s="16" t="n"/>
      <c r="I86" s="16" t="n"/>
      <c r="J86" s="16" t="n"/>
      <c r="K86" s="16" t="n"/>
      <c r="L86" s="16" t="n"/>
      <c r="M86" s="17">
        <f>_xlfn.XLOOKUP(A86,'작업관리'!B:B,'작업관리'!E:E,"")</f>
        <v/>
      </c>
      <c r="N86" s="17">
        <f>_xlfn.XLOOKUP(A86,'작업관리'!B:B,'작업관리'!F:F,"")</f>
        <v/>
      </c>
      <c r="O86" s="17">
        <f>_xlfn.XLOOKUP(A86,'작업관리'!B:B,'작업관리'!G:G,"")</f>
        <v/>
      </c>
      <c r="P86" s="18" t="n">
        <v>46387</v>
      </c>
      <c r="Q86" s="17">
        <f>IF(N86="완료","완료",IF(N86="보류","보류",IF(N86="진행 중",IF(P86&lt;TODAY(),"딜레이","진행중"),IF(P86&lt;TODAY(),"딜레이",IF(TODAY()&gt;=DATE(YEAR(P86),MONTH(P86)-2,1),"임박","예정")))))</f>
        <v/>
      </c>
      <c r="R86" s="19">
        <f>IF(OR(N86="완료",N86="보류"),"-",IF(P86&lt;TODAY(),TODAY()-P86,""))</f>
        <v/>
      </c>
    </row>
    <row r="87" ht="18" customHeight="1">
      <c r="A87" s="14" t="inlineStr">
        <is>
          <t>2단계 해금 (FormD~E + 스킬 15)</t>
        </is>
      </c>
      <c r="B87" s="16" t="n"/>
      <c r="C87" s="16" t="n"/>
      <c r="D87" s="16" t="n"/>
      <c r="E87" s="22" t="n"/>
      <c r="F87" s="16" t="n"/>
      <c r="G87" s="16" t="n"/>
      <c r="H87" s="16" t="n"/>
      <c r="I87" s="16" t="n"/>
      <c r="J87" s="16" t="n"/>
      <c r="K87" s="16" t="n"/>
      <c r="L87" s="16" t="n"/>
      <c r="M87" s="17">
        <f>_xlfn.XLOOKUP(A87,'작업관리'!B:B,'작업관리'!E:E,"")</f>
        <v/>
      </c>
      <c r="N87" s="17">
        <f>_xlfn.XLOOKUP(A87,'작업관리'!B:B,'작업관리'!F:F,"")</f>
        <v/>
      </c>
      <c r="O87" s="17">
        <f>_xlfn.XLOOKUP(A87,'작업관리'!B:B,'작업관리'!G:G,"")</f>
        <v/>
      </c>
      <c r="P87" s="18" t="n">
        <v>46477</v>
      </c>
      <c r="Q87" s="17">
        <f>IF(N87="완료","완료",IF(N87="보류","보류",IF(N87="진행 중",IF(P87&lt;TODAY(),"딜레이","진행중"),IF(P87&lt;TODAY(),"딜레이",IF(TODAY()&gt;=DATE(YEAR(P87),MONTH(P87)-2,1),"임박","예정")))))</f>
        <v/>
      </c>
      <c r="R87" s="19">
        <f>IF(OR(N87="완료",N87="보류"),"-",IF(P87&lt;TODAY(),TODAY()-P87,""))</f>
        <v/>
      </c>
    </row>
    <row r="88" ht="18" customHeight="1">
      <c r="A88" s="14" t="inlineStr">
        <is>
          <t>3단계 (메타 상점 UI + essence_pure)</t>
        </is>
      </c>
      <c r="B88" s="16" t="n"/>
      <c r="C88" s="16" t="n"/>
      <c r="D88" s="16" t="n"/>
      <c r="E88" s="16" t="n"/>
      <c r="F88" s="16" t="n"/>
      <c r="G88" s="40" t="n"/>
      <c r="H88" s="16" t="n"/>
      <c r="I88" s="16" t="n"/>
      <c r="J88" s="16" t="n"/>
      <c r="K88" s="16" t="n"/>
      <c r="L88" s="16" t="n"/>
      <c r="M88" s="17">
        <f>_xlfn.XLOOKUP(A88,'작업관리'!B:B,'작업관리'!E:E,"")</f>
        <v/>
      </c>
      <c r="N88" s="17">
        <f>_xlfn.XLOOKUP(A88,'작업관리'!B:B,'작업관리'!F:F,"")</f>
        <v/>
      </c>
      <c r="O88" s="17">
        <f>_xlfn.XLOOKUP(A88,'작업관리'!B:B,'작업관리'!G:G,"")</f>
        <v/>
      </c>
      <c r="P88" s="18" t="n">
        <v>46660</v>
      </c>
      <c r="Q88" s="17">
        <f>IF(N88="완료","완료",IF(N88="보류","보류",IF(N88="진행 중",IF(P88&lt;TODAY(),"딜레이","진행중"),IF(P88&lt;TODAY(),"딜레이",IF(TODAY()&gt;=DATE(YEAR(P88),MONTH(P88)-2,1),"임박","예정")))))</f>
        <v/>
      </c>
      <c r="R88" s="19">
        <f>IF(OR(N88="완료",N88="보류"),"-",IF(P88&lt;TODAY(),TODAY()-P88,""))</f>
        <v/>
      </c>
    </row>
    <row r="89" ht="18" customHeight="1">
      <c r="A89" s="14" t="inlineStr">
        <is>
          <t>4단계 (FormF~J + 스킬 30 + 진엔딩 키)</t>
        </is>
      </c>
      <c r="B89" s="16" t="n"/>
      <c r="C89" s="16" t="n"/>
      <c r="D89" s="16" t="n"/>
      <c r="E89" s="16" t="n"/>
      <c r="F89" s="16" t="n"/>
      <c r="G89" s="16" t="n"/>
      <c r="H89" s="16" t="n"/>
      <c r="I89" s="16" t="n"/>
      <c r="J89" s="16" t="n"/>
      <c r="K89" s="25" t="n"/>
      <c r="L89" s="16" t="n"/>
      <c r="M89" s="17">
        <f>_xlfn.XLOOKUP(A89,'작업관리'!B:B,'작업관리'!E:E,"")</f>
        <v/>
      </c>
      <c r="N89" s="17">
        <f>_xlfn.XLOOKUP(A89,'작업관리'!B:B,'작업관리'!F:F,"")</f>
        <v/>
      </c>
      <c r="O89" s="17">
        <f>_xlfn.XLOOKUP(A89,'작업관리'!B:B,'작업관리'!G:G,"")</f>
        <v/>
      </c>
      <c r="P89" s="18" t="n">
        <v>47026</v>
      </c>
      <c r="Q89" s="17">
        <f>IF(N89="완료","완료",IF(N89="보류","보류",IF(N89="진행 중",IF(P89&lt;TODAY(),"딜레이","진행중"),IF(P89&lt;TODAY(),"딜레이",IF(TODAY()&gt;=DATE(YEAR(P89),MONTH(P89)-2,1),"임박","예정")))))</f>
        <v/>
      </c>
      <c r="R89" s="19">
        <f>IF(OR(N89="완료",N89="보류"),"-",IF(P89&lt;TODAY(),TODAY()-P89,""))</f>
        <v/>
      </c>
    </row>
    <row r="90" ht="18" customHeight="1">
      <c r="A90" s="14" t="inlineStr">
        <is>
          <t>5단계 (히든 폼·히든 보스 해금)</t>
        </is>
      </c>
      <c r="B90" s="16" t="n"/>
      <c r="C90" s="16" t="n"/>
      <c r="D90" s="16" t="n"/>
      <c r="E90" s="16" t="n"/>
      <c r="F90" s="16" t="n"/>
      <c r="G90" s="16" t="n"/>
      <c r="H90" s="16" t="n"/>
      <c r="I90" s="16" t="n"/>
      <c r="J90" s="16" t="n"/>
      <c r="K90" s="16" t="n"/>
      <c r="L90" s="26" t="inlineStr">
        <is>
          <t>H</t>
        </is>
      </c>
      <c r="M90" s="17">
        <f>_xlfn.XLOOKUP(A90,'작업관리'!B:B,'작업관리'!E:E,"")</f>
        <v/>
      </c>
      <c r="N90" s="17">
        <f>_xlfn.XLOOKUP(A90,'작업관리'!B:B,'작업관리'!F:F,"")</f>
        <v/>
      </c>
      <c r="O90" s="17">
        <f>_xlfn.XLOOKUP(A90,'작업관리'!B:B,'작업관리'!G:G,"")</f>
        <v/>
      </c>
      <c r="P90" s="18" t="n">
        <v>47118</v>
      </c>
      <c r="Q90" s="17">
        <f>IF(N90="완료","완료",IF(N90="보류","보류",IF(N90="진행 중",IF(P90&lt;TODAY(),"딜레이","진행중"),IF(P90&lt;TODAY(),"딜레이",IF(TODAY()&gt;=DATE(YEAR(P90),MONTH(P90)-2,1),"임박","예정")))))</f>
        <v/>
      </c>
      <c r="R90" s="19">
        <f>IF(OR(N90="완료",N90="보류"),"-",IF(P90&lt;TODAY(),TODAY()-P90,""))</f>
        <v/>
      </c>
    </row>
    <row r="91" ht="18" customHeight="1">
      <c r="A91" s="14" t="inlineStr">
        <is>
          <t>도감 (Codex) UI</t>
        </is>
      </c>
      <c r="B91" s="16" t="n"/>
      <c r="C91" s="16" t="n"/>
      <c r="D91" s="21" t="inlineStr">
        <is>
          <t>✓</t>
        </is>
      </c>
      <c r="E91" s="16" t="n"/>
      <c r="F91" s="16" t="n"/>
      <c r="G91" s="16" t="n"/>
      <c r="H91" s="16" t="n"/>
      <c r="I91" s="16" t="n"/>
      <c r="J91" s="16" t="n"/>
      <c r="K91" s="16" t="n"/>
      <c r="L91" s="16" t="n"/>
      <c r="M91" s="17">
        <f>_xlfn.XLOOKUP(A91,'작업관리'!B:B,'작업관리'!E:E,"")</f>
        <v/>
      </c>
      <c r="N91" s="17">
        <f>_xlfn.XLOOKUP(A91,'작업관리'!B:B,'작업관리'!F:F,"")</f>
        <v/>
      </c>
      <c r="O91" s="17">
        <f>_xlfn.XLOOKUP(A91,'작업관리'!B:B,'작업관리'!G:G,"")</f>
        <v/>
      </c>
      <c r="P91" s="18" t="n">
        <v>46387</v>
      </c>
      <c r="Q91" s="17">
        <f>IF(N91="완료","완료",IF(N91="보류","보류",IF(N91="진행 중",IF(P91&lt;TODAY(),"딜레이","진행중"),IF(P91&lt;TODAY(),"딜레이",IF(TODAY()&gt;=DATE(YEAR(P91),MONTH(P91)-2,1),"임박","예정")))))</f>
        <v/>
      </c>
      <c r="R91" s="19">
        <f>IF(OR(N91="완료",N91="보류"),"-",IF(P91&lt;TODAY(),TODAY()-P91,""))</f>
        <v/>
      </c>
    </row>
    <row r="92" ht="18" customHeight="1">
      <c r="A92" s="14" t="inlineStr">
        <is>
          <t>업적·Steam 실적 30개 (EA)</t>
        </is>
      </c>
      <c r="B92" s="16" t="n"/>
      <c r="C92" s="16" t="n"/>
      <c r="D92" s="16" t="n"/>
      <c r="E92" s="16" t="n"/>
      <c r="F92" s="16" t="n"/>
      <c r="G92" s="40" t="n"/>
      <c r="H92" s="16" t="n"/>
      <c r="I92" s="16" t="n"/>
      <c r="J92" s="16" t="n"/>
      <c r="K92" s="16" t="n"/>
      <c r="L92" s="16" t="n"/>
      <c r="M92" s="17">
        <f>_xlfn.XLOOKUP(A92,'작업관리'!B:B,'작업관리'!E:E,"")</f>
        <v/>
      </c>
      <c r="N92" s="17">
        <f>_xlfn.XLOOKUP(A92,'작업관리'!B:B,'작업관리'!F:F,"")</f>
        <v/>
      </c>
      <c r="O92" s="17">
        <f>_xlfn.XLOOKUP(A92,'작업관리'!B:B,'작업관리'!G:G,"")</f>
        <v/>
      </c>
      <c r="P92" s="18" t="n">
        <v>46660</v>
      </c>
      <c r="Q92" s="17">
        <f>IF(N92="완료","완료",IF(N92="보류","보류",IF(N92="진행 중",IF(P92&lt;TODAY(),"딜레이","진행중"),IF(P92&lt;TODAY(),"딜레이",IF(TODAY()&gt;=DATE(YEAR(P92),MONTH(P92)-2,1),"임박","예정")))))</f>
        <v/>
      </c>
      <c r="R92" s="19">
        <f>IF(OR(N92="완료",N92="보류"),"-",IF(P92&lt;TODAY(),TODAY()-P92,""))</f>
        <v/>
      </c>
    </row>
    <row r="93" ht="18" customHeight="1">
      <c r="A93" s="14" t="inlineStr">
        <is>
          <t>업적 추가 30개 (v1.0)</t>
        </is>
      </c>
      <c r="B93" s="16" t="n"/>
      <c r="C93" s="16" t="n"/>
      <c r="D93" s="16" t="n"/>
      <c r="E93" s="16" t="n"/>
      <c r="F93" s="16" t="n"/>
      <c r="G93" s="16" t="n"/>
      <c r="H93" s="16" t="n"/>
      <c r="I93" s="16" t="n"/>
      <c r="J93" s="16" t="n"/>
      <c r="K93" s="16" t="n"/>
      <c r="L93" s="41" t="n"/>
      <c r="M93" s="17">
        <f>_xlfn.XLOOKUP(A93,'작업관리'!B:B,'작업관리'!E:E,"")</f>
        <v/>
      </c>
      <c r="N93" s="17">
        <f>_xlfn.XLOOKUP(A93,'작업관리'!B:B,'작업관리'!F:F,"")</f>
        <v/>
      </c>
      <c r="O93" s="17">
        <f>_xlfn.XLOOKUP(A93,'작업관리'!B:B,'작업관리'!G:G,"")</f>
        <v/>
      </c>
      <c r="P93" s="18" t="n">
        <v>47118</v>
      </c>
      <c r="Q93" s="17">
        <f>IF(N93="완료","완료",IF(N93="보류","보류",IF(N93="진행 중",IF(P93&lt;TODAY(),"딜레이","진행중"),IF(P93&lt;TODAY(),"딜레이",IF(TODAY()&gt;=DATE(YEAR(P93),MONTH(P93)-2,1),"임박","예정")))))</f>
        <v/>
      </c>
      <c r="R93" s="19">
        <f>IF(OR(N93="완료",N93="보류"),"-",IF(P93&lt;TODAY(),TODAY()-P93,""))</f>
        <v/>
      </c>
    </row>
    <row r="94" ht="20" customHeight="1">
      <c r="A94" s="13" t="inlineStr">
        <is>
          <t>스토리·서사 (Story &amp; Narrative) ↗ (문서 열기)</t>
        </is>
      </c>
    </row>
    <row r="95" ht="18" customHeight="1">
      <c r="A95" s="14" t="inlineStr">
        <is>
          <t>장편소설 『심연 지도』 3권 (게임 전사 SoT, 114장 48.7만자)</t>
        </is>
      </c>
      <c r="B95" s="16" t="n"/>
      <c r="C95" s="16" t="n"/>
      <c r="D95" s="21" t="inlineStr">
        <is>
          <t>✓</t>
        </is>
      </c>
      <c r="E95" s="16" t="n"/>
      <c r="F95" s="16" t="n"/>
      <c r="G95" s="16" t="n"/>
      <c r="H95" s="16" t="n"/>
      <c r="I95" s="16" t="n"/>
      <c r="J95" s="16" t="n"/>
      <c r="K95" s="16" t="n"/>
      <c r="L95" s="16" t="n"/>
      <c r="M95" s="17">
        <f>_xlfn.XLOOKUP(A95,'작업관리'!B:B,'작업관리'!E:E,"")</f>
        <v/>
      </c>
      <c r="N95" s="17">
        <f>_xlfn.XLOOKUP(A95,'작업관리'!B:B,'작업관리'!F:F,"")</f>
        <v/>
      </c>
      <c r="O95" s="17">
        <f>_xlfn.XLOOKUP(A95,'작업관리'!B:B,'작업관리'!G:G,"")</f>
        <v/>
      </c>
      <c r="P95" s="18" t="n">
        <v>46387</v>
      </c>
      <c r="Q95" s="17">
        <f>IF(N95="완료","완료",IF(N95="보류","보류",IF(N95="진행 중",IF(P95&lt;TODAY(),"딜레이","진행중"),IF(P95&lt;TODAY(),"딜레이",IF(TODAY()&gt;=DATE(YEAR(P95),MONTH(P95)-2,1),"임박","예정")))))</f>
        <v/>
      </c>
      <c r="R95" s="19">
        <f>IF(OR(N95="완료",N95="보류"),"-",IF(P95&lt;TODAY(),TODAY()-P95,""))</f>
        <v/>
      </c>
    </row>
    <row r="96" ht="18" customHeight="1">
      <c r="A96" s="14" t="inlineStr">
        <is>
          <t>기록자 NPC 서사 (진행도 델타 분기 3챕터)</t>
        </is>
      </c>
      <c r="B96" s="16" t="n"/>
      <c r="C96" s="20" t="inlineStr">
        <is>
          <t>✓</t>
        </is>
      </c>
      <c r="D96" s="16" t="n"/>
      <c r="E96" s="16" t="n"/>
      <c r="F96" s="16" t="n"/>
      <c r="G96" s="16" t="n"/>
      <c r="H96" s="16" t="n"/>
      <c r="I96" s="16" t="n"/>
      <c r="J96" s="16" t="n"/>
      <c r="K96" s="16" t="n"/>
      <c r="L96" s="16" t="n"/>
      <c r="M96" s="17">
        <f>_xlfn.XLOOKUP(A96,'작업관리'!B:B,'작업관리'!E:E,"")</f>
        <v/>
      </c>
      <c r="N96" s="17">
        <f>_xlfn.XLOOKUP(A96,'작업관리'!B:B,'작업관리'!F:F,"")</f>
        <v/>
      </c>
      <c r="O96" s="17">
        <f>_xlfn.XLOOKUP(A96,'작업관리'!B:B,'작업관리'!G:G,"")</f>
        <v/>
      </c>
      <c r="P96" s="18" t="n">
        <v>46295</v>
      </c>
      <c r="Q96" s="17">
        <f>IF(N96="완료","완료",IF(N96="보류","보류",IF(N96="진행 중",IF(P96&lt;TODAY(),"딜레이","진행중"),IF(P96&lt;TODAY(),"딜레이",IF(TODAY()&gt;=DATE(YEAR(P96),MONTH(P96)-2,1),"임박","예정")))))</f>
        <v/>
      </c>
      <c r="R96" s="19">
        <f>IF(OR(N96="완료",N96="보류"),"-",IF(P96&lt;TODAY(),TODAY()-P96,""))</f>
        <v/>
      </c>
    </row>
    <row r="97" ht="18" customHeight="1">
      <c r="A97" s="14" t="inlineStr">
        <is>
          <t>각인사 NPC 폼 4종 내력 (N-2, 화자별 진행도 v3)</t>
        </is>
      </c>
      <c r="B97" s="16" t="n"/>
      <c r="C97" s="16" t="n"/>
      <c r="D97" s="21" t="inlineStr">
        <is>
          <t>✓</t>
        </is>
      </c>
      <c r="E97" s="16" t="n"/>
      <c r="F97" s="16" t="n"/>
      <c r="G97" s="16" t="n"/>
      <c r="H97" s="16" t="n"/>
      <c r="I97" s="16" t="n"/>
      <c r="J97" s="16" t="n"/>
      <c r="K97" s="16" t="n"/>
      <c r="L97" s="16" t="n"/>
      <c r="M97" s="17">
        <f>_xlfn.XLOOKUP(A97,'작업관리'!B:B,'작업관리'!E:E,"")</f>
        <v/>
      </c>
      <c r="N97" s="17">
        <f>_xlfn.XLOOKUP(A97,'작업관리'!B:B,'작업관리'!F:F,"")</f>
        <v/>
      </c>
      <c r="O97" s="17">
        <f>_xlfn.XLOOKUP(A97,'작업관리'!B:B,'작업관리'!G:G,"")</f>
        <v/>
      </c>
      <c r="P97" s="18" t="n">
        <v>46387</v>
      </c>
      <c r="Q97" s="17">
        <f>IF(N97="완료","완료",IF(N97="보류","보류",IF(N97="진행 중",IF(P97&lt;TODAY(),"딜레이","진행중"),IF(P97&lt;TODAY(),"딜레이",IF(TODAY()&gt;=DATE(YEAR(P97),MONTH(P97)-2,1),"임박","예정")))))</f>
        <v/>
      </c>
      <c r="R97" s="19">
        <f>IF(OR(N97="완료",N97="보류"),"-",IF(P97&lt;TODAY(),TODAY()-P97,""))</f>
        <v/>
      </c>
    </row>
    <row r="98" ht="18" customHeight="1">
      <c r="A98" s="14" t="inlineStr">
        <is>
          <t>4-3 전제·인칭 규약 확정 (각인사≠하란, 자막 1인칭)</t>
        </is>
      </c>
      <c r="B98" s="16" t="n"/>
      <c r="C98" s="16" t="n"/>
      <c r="D98" s="21" t="inlineStr">
        <is>
          <t>✓</t>
        </is>
      </c>
      <c r="E98" s="16" t="n"/>
      <c r="F98" s="16" t="n"/>
      <c r="G98" s="16" t="n"/>
      <c r="H98" s="16" t="n"/>
      <c r="I98" s="16" t="n"/>
      <c r="J98" s="16" t="n"/>
      <c r="K98" s="16" t="n"/>
      <c r="L98" s="16" t="n"/>
      <c r="M98" s="17">
        <f>_xlfn.XLOOKUP(A98,'작업관리'!B:B,'작업관리'!E:E,"")</f>
        <v/>
      </c>
      <c r="N98" s="17">
        <f>_xlfn.XLOOKUP(A98,'작업관리'!B:B,'작업관리'!F:F,"")</f>
        <v/>
      </c>
      <c r="O98" s="17">
        <f>_xlfn.XLOOKUP(A98,'작업관리'!B:B,'작업관리'!G:G,"")</f>
        <v/>
      </c>
      <c r="P98" s="18" t="n">
        <v>46387</v>
      </c>
      <c r="Q98" s="17">
        <f>IF(N98="완료","완료",IF(N98="보류","보류",IF(N98="진행 중",IF(P98&lt;TODAY(),"딜레이","진행중"),IF(P98&lt;TODAY(),"딜레이",IF(TODAY()&gt;=DATE(YEAR(P98),MONTH(P98)-2,1),"임박","예정")))))</f>
        <v/>
      </c>
      <c r="R98" s="19">
        <f>IF(OR(N98="완료",N98="보류"),"-",IF(P98&lt;TODAY(),TODAY()-P98,""))</f>
        <v/>
      </c>
    </row>
    <row r="99" ht="18" customHeight="1">
      <c r="A99" s="14" t="inlineStr">
        <is>
          <t>각인사 대사 표기형 전환 (본 것/들은 것/옮긴 것)</t>
        </is>
      </c>
      <c r="B99" s="16" t="n"/>
      <c r="C99" s="16" t="n"/>
      <c r="D99" s="21" t="inlineStr">
        <is>
          <t>✓</t>
        </is>
      </c>
      <c r="E99" s="16" t="n"/>
      <c r="F99" s="16" t="n"/>
      <c r="G99" s="16" t="n"/>
      <c r="H99" s="16" t="n"/>
      <c r="I99" s="16" t="n"/>
      <c r="J99" s="16" t="n"/>
      <c r="K99" s="16" t="n"/>
      <c r="L99" s="16" t="n"/>
      <c r="M99" s="17">
        <f>_xlfn.XLOOKUP(A99,'작업관리'!B:B,'작업관리'!E:E,"")</f>
        <v/>
      </c>
      <c r="N99" s="17">
        <f>_xlfn.XLOOKUP(A99,'작업관리'!B:B,'작업관리'!F:F,"")</f>
        <v/>
      </c>
      <c r="O99" s="17">
        <f>_xlfn.XLOOKUP(A99,'작업관리'!B:B,'작업관리'!G:G,"")</f>
        <v/>
      </c>
      <c r="P99" s="18" t="n">
        <v>46387</v>
      </c>
      <c r="Q99" s="17">
        <f>IF(N99="완료","완료",IF(N99="보류","보류",IF(N99="진행 중",IF(P99&lt;TODAY(),"딜레이","진행중"),IF(P99&lt;TODAY(),"딜레이",IF(TODAY()&gt;=DATE(YEAR(P99),MONTH(P99)-2,1),"임박","예정")))))</f>
        <v/>
      </c>
      <c r="R99" s="19">
        <f>IF(OR(N99="완료",N99="보류"),"-",IF(P99&lt;TODAY(),TODAY()-P99,""))</f>
        <v/>
      </c>
    </row>
    <row r="100" ht="18" customHeight="1">
      <c r="A100" s="14" t="inlineStr">
        <is>
          <t>소설↔게임 어휘·화법 대조 + 표기 통일</t>
        </is>
      </c>
      <c r="B100" s="16" t="n"/>
      <c r="C100" s="16" t="n"/>
      <c r="D100" s="21" t="inlineStr">
        <is>
          <t>✓</t>
        </is>
      </c>
      <c r="E100" s="16" t="n"/>
      <c r="F100" s="16" t="n"/>
      <c r="G100" s="16" t="n"/>
      <c r="H100" s="16" t="n"/>
      <c r="I100" s="16" t="n"/>
      <c r="J100" s="16" t="n"/>
      <c r="K100" s="16" t="n"/>
      <c r="L100" s="16" t="n"/>
      <c r="M100" s="17">
        <f>_xlfn.XLOOKUP(A100,'작업관리'!B:B,'작업관리'!E:E,"")</f>
        <v/>
      </c>
      <c r="N100" s="17">
        <f>_xlfn.XLOOKUP(A100,'작업관리'!B:B,'작업관리'!F:F,"")</f>
        <v/>
      </c>
      <c r="O100" s="17">
        <f>_xlfn.XLOOKUP(A100,'작업관리'!B:B,'작업관리'!G:G,"")</f>
        <v/>
      </c>
      <c r="P100" s="18" t="n">
        <v>46387</v>
      </c>
      <c r="Q100" s="17">
        <f>IF(N100="완료","완료",IF(N100="보류","보류",IF(N100="진행 중",IF(P100&lt;TODAY(),"딜레이","진행중"),IF(P100&lt;TODAY(),"딜레이",IF(TODAY()&gt;=DATE(YEAR(P100),MONTH(P100)-2,1),"임박","예정")))))</f>
        <v/>
      </c>
      <c r="R100" s="19">
        <f>IF(OR(N100="완료",N100="보류"),"-",IF(P100&lt;TODAY(),TODAY()-P100,""))</f>
        <v/>
      </c>
    </row>
    <row r="101" ht="18" customHeight="1">
      <c r="A101" s="14" t="inlineStr">
        <is>
          <t>기록자 화법 재설계 (겪음↔옮김 대비 축)</t>
        </is>
      </c>
      <c r="B101" s="16" t="n"/>
      <c r="C101" s="16" t="n"/>
      <c r="D101" s="21" t="inlineStr">
        <is>
          <t>✓</t>
        </is>
      </c>
      <c r="E101" s="16" t="n"/>
      <c r="F101" s="16" t="n"/>
      <c r="G101" s="16" t="n"/>
      <c r="H101" s="16" t="n"/>
      <c r="I101" s="16" t="n"/>
      <c r="J101" s="16" t="n"/>
      <c r="K101" s="16" t="n"/>
      <c r="L101" s="16" t="n"/>
      <c r="M101" s="17">
        <f>_xlfn.XLOOKUP(A101,'작업관리'!B:B,'작업관리'!E:E,"")</f>
        <v/>
      </c>
      <c r="N101" s="17">
        <f>_xlfn.XLOOKUP(A101,'작업관리'!B:B,'작업관리'!F:F,"")</f>
        <v/>
      </c>
      <c r="O101" s="17">
        <f>_xlfn.XLOOKUP(A101,'작업관리'!B:B,'작업관리'!G:G,"")</f>
        <v/>
      </c>
      <c r="P101" s="18" t="n">
        <v>46387</v>
      </c>
      <c r="Q101" s="17">
        <f>IF(N101="완료","완료",IF(N101="보류","보류",IF(N101="진행 중",IF(P101&lt;TODAY(),"딜레이","진행중"),IF(P101&lt;TODAY(),"딜레이",IF(TODAY()&gt;=DATE(YEAR(P101),MONTH(P101)-2,1),"임박","예정")))))</f>
        <v/>
      </c>
      <c r="R101" s="19">
        <f>IF(OR(N101="완료",N101="보류"),"-",IF(P101&lt;TODAY(),TODAY()-P101,""))</f>
        <v/>
      </c>
    </row>
    <row r="102" ht="18" customHeight="1">
      <c r="A102" s="14" t="inlineStr">
        <is>
          <t>각인사 닫는 말 (아크 씨앗 재생 자리)</t>
        </is>
      </c>
      <c r="B102" s="16" t="n"/>
      <c r="C102" s="16" t="n"/>
      <c r="D102" s="21" t="inlineStr">
        <is>
          <t>✓</t>
        </is>
      </c>
      <c r="E102" s="16" t="n"/>
      <c r="F102" s="16" t="n"/>
      <c r="G102" s="16" t="n"/>
      <c r="H102" s="16" t="n"/>
      <c r="I102" s="16" t="n"/>
      <c r="J102" s="16" t="n"/>
      <c r="K102" s="16" t="n"/>
      <c r="L102" s="16" t="n"/>
      <c r="M102" s="17">
        <f>_xlfn.XLOOKUP(A102,'작업관리'!B:B,'작업관리'!E:E,"")</f>
        <v/>
      </c>
      <c r="N102" s="17">
        <f>_xlfn.XLOOKUP(A102,'작업관리'!B:B,'작업관리'!F:F,"")</f>
        <v/>
      </c>
      <c r="O102" s="17">
        <f>_xlfn.XLOOKUP(A102,'작업관리'!B:B,'작업관리'!G:G,"")</f>
        <v/>
      </c>
      <c r="P102" s="18" t="n">
        <v>46387</v>
      </c>
      <c r="Q102" s="17">
        <f>IF(N102="완료","완료",IF(N102="보류","보류",IF(N102="진행 중",IF(P102&lt;TODAY(),"딜레이","진행중"),IF(P102&lt;TODAY(),"딜레이",IF(TODAY()&gt;=DATE(YEAR(P102),MONTH(P102)-2,1),"임박","예정")))))</f>
        <v/>
      </c>
      <c r="R102" s="19">
        <f>IF(OR(N102="완료",N102="보류"),"-",IF(P102&lt;TODAY(),TODAY()-P102,""))</f>
        <v/>
      </c>
    </row>
    <row r="103" ht="18" customHeight="1">
      <c r="A103" s="14" t="inlineStr">
        <is>
          <t>서사 영/일 1차 번역 (기록자·각인사·프롤로그·엔딩 30행)</t>
        </is>
      </c>
      <c r="B103" s="16" t="n"/>
      <c r="C103" s="16" t="n"/>
      <c r="D103" s="16" t="n"/>
      <c r="E103" s="37" t="inlineStr">
        <is>
          <t>✓</t>
        </is>
      </c>
      <c r="F103" s="16" t="n"/>
      <c r="G103" s="16" t="n"/>
      <c r="H103" s="16" t="n"/>
      <c r="I103" s="16" t="n"/>
      <c r="J103" s="16" t="n"/>
      <c r="K103" s="16" t="n"/>
      <c r="L103" s="16" t="n"/>
      <c r="M103" s="17">
        <f>_xlfn.XLOOKUP(A103,'작업관리'!B:B,'작업관리'!E:E,"")</f>
        <v/>
      </c>
      <c r="N103" s="17">
        <f>_xlfn.XLOOKUP(A103,'작업관리'!B:B,'작업관리'!F:F,"")</f>
        <v/>
      </c>
      <c r="O103" s="17">
        <f>_xlfn.XLOOKUP(A103,'작업관리'!B:B,'작업관리'!G:G,"")</f>
        <v/>
      </c>
      <c r="P103" s="18" t="n">
        <v>46477</v>
      </c>
      <c r="Q103" s="17">
        <f>IF(N103="완료","완료",IF(N103="보류","보류",IF(N103="진행 중",IF(P103&lt;TODAY(),"딜레이","진행중"),IF(P103&lt;TODAY(),"딜레이",IF(TODAY()&gt;=DATE(YEAR(P103),MONTH(P103)-2,1),"임박","예정")))))</f>
        <v/>
      </c>
      <c r="R103" s="19">
        <f>IF(OR(N103="완료",N103="보류"),"-",IF(P103&lt;TODAY(),TODAY()-P103,""))</f>
        <v/>
      </c>
    </row>
    <row r="104" ht="18" customHeight="1">
      <c r="A104" s="14" t="inlineStr">
        <is>
          <t>적 등급 SoT (EnemyTier) + 미드보스 도감 분류</t>
        </is>
      </c>
      <c r="B104" s="16" t="n"/>
      <c r="C104" s="16" t="n"/>
      <c r="D104" s="21" t="inlineStr">
        <is>
          <t>✓</t>
        </is>
      </c>
      <c r="E104" s="16" t="n"/>
      <c r="F104" s="16" t="n"/>
      <c r="G104" s="16" t="n"/>
      <c r="H104" s="16" t="n"/>
      <c r="I104" s="16" t="n"/>
      <c r="J104" s="16" t="n"/>
      <c r="K104" s="16" t="n"/>
      <c r="L104" s="16" t="n"/>
      <c r="M104" s="17">
        <f>_xlfn.XLOOKUP(A104,'작업관리'!B:B,'작업관리'!E:E,"")</f>
        <v/>
      </c>
      <c r="N104" s="17">
        <f>_xlfn.XLOOKUP(A104,'작업관리'!B:B,'작업관리'!F:F,"")</f>
        <v/>
      </c>
      <c r="O104" s="17">
        <f>_xlfn.XLOOKUP(A104,'작업관리'!B:B,'작업관리'!G:G,"")</f>
        <v/>
      </c>
      <c r="P104" s="18" t="n">
        <v>46387</v>
      </c>
      <c r="Q104" s="17">
        <f>IF(N104="완료","완료",IF(N104="보류","보류",IF(N104="진행 중",IF(P104&lt;TODAY(),"딜레이","진행중"),IF(P104&lt;TODAY(),"딜레이",IF(TODAY()&gt;=DATE(YEAR(P104),MONTH(P104)-2,1),"임박","예정")))))</f>
        <v/>
      </c>
      <c r="R104" s="19">
        <f>IF(OR(N104="완료",N104="보류"),"-",IF(P104&lt;TODAY(),TODAY()-P104,""))</f>
        <v/>
      </c>
    </row>
    <row r="105" ht="18" customHeight="1">
      <c r="A105" s="14" t="inlineStr">
        <is>
          <t>3-2 메타 해금 시스템 (특전 2종 + 옵트인 잠금)</t>
        </is>
      </c>
      <c r="B105" s="16" t="n"/>
      <c r="C105" s="16" t="n"/>
      <c r="D105" s="21" t="inlineStr">
        <is>
          <t>✓</t>
        </is>
      </c>
      <c r="E105" s="16" t="n"/>
      <c r="F105" s="16" t="n"/>
      <c r="G105" s="16" t="n"/>
      <c r="H105" s="16" t="n"/>
      <c r="I105" s="16" t="n"/>
      <c r="J105" s="16" t="n"/>
      <c r="K105" s="16" t="n"/>
      <c r="L105" s="16" t="n"/>
      <c r="M105" s="17">
        <f>_xlfn.XLOOKUP(A105,'작업관리'!B:B,'작업관리'!E:E,"")</f>
        <v/>
      </c>
      <c r="N105" s="17">
        <f>_xlfn.XLOOKUP(A105,'작업관리'!B:B,'작업관리'!F:F,"")</f>
        <v/>
      </c>
      <c r="O105" s="17">
        <f>_xlfn.XLOOKUP(A105,'작업관리'!B:B,'작업관리'!G:G,"")</f>
        <v/>
      </c>
      <c r="P105" s="18" t="n">
        <v>46387</v>
      </c>
      <c r="Q105" s="17">
        <f>IF(N105="완료","완료",IF(N105="보류","보류",IF(N105="진행 중",IF(P105&lt;TODAY(),"딜레이","진행중"),IF(P105&lt;TODAY(),"딜레이",IF(TODAY()&gt;=DATE(YEAR(P105),MONTH(P105)-2,1),"임박","예정")))))</f>
        <v/>
      </c>
      <c r="R105" s="19">
        <f>IF(OR(N105="완료",N105="보류"),"-",IF(P105&lt;TODAY(),TODAY()-P105,""))</f>
        <v/>
      </c>
    </row>
    <row r="106" ht="18" customHeight="1">
      <c r="A106" s="14" t="inlineStr">
        <is>
          <t>적 피격/사망 SFX (등급 3단계 + 절차 생성기)</t>
        </is>
      </c>
      <c r="B106" s="16" t="n"/>
      <c r="C106" s="16" t="n"/>
      <c r="D106" s="21" t="inlineStr">
        <is>
          <t>✓</t>
        </is>
      </c>
      <c r="E106" s="16" t="n"/>
      <c r="F106" s="16" t="n"/>
      <c r="G106" s="16" t="n"/>
      <c r="H106" s="16" t="n"/>
      <c r="I106" s="16" t="n"/>
      <c r="J106" s="16" t="n"/>
      <c r="K106" s="16" t="n"/>
      <c r="L106" s="16" t="n"/>
      <c r="M106" s="17">
        <f>_xlfn.XLOOKUP(A106,'작업관리'!B:B,'작업관리'!E:E,"")</f>
        <v/>
      </c>
      <c r="N106" s="17">
        <f>_xlfn.XLOOKUP(A106,'작업관리'!B:B,'작업관리'!F:F,"")</f>
        <v/>
      </c>
      <c r="O106" s="17">
        <f>_xlfn.XLOOKUP(A106,'작업관리'!B:B,'작업관리'!G:G,"")</f>
        <v/>
      </c>
      <c r="P106" s="18" t="n">
        <v>46387</v>
      </c>
      <c r="Q106" s="17">
        <f>IF(N106="완료","완료",IF(N106="보류","보류",IF(N106="진행 중",IF(P106&lt;TODAY(),"딜레이","진행중"),IF(P106&lt;TODAY(),"딜레이",IF(TODAY()&gt;=DATE(YEAR(P106),MONTH(P106)-2,1),"임박","예정")))))</f>
        <v/>
      </c>
      <c r="R106" s="19">
        <f>IF(OR(N106="완료",N106="보류"),"-",IF(P106&lt;TODAY(),TODAY()-P106,""))</f>
        <v/>
      </c>
    </row>
    <row r="107" ht="18" customHeight="1">
      <c r="A107" s="14" t="inlineStr">
        <is>
          <t>아트 방향 전환 (픽셀 -&gt; AI 손그림, ADR-008 전제오류)</t>
        </is>
      </c>
      <c r="B107" s="16" t="n"/>
      <c r="C107" s="16" t="n"/>
      <c r="D107" s="21" t="inlineStr">
        <is>
          <t>✓</t>
        </is>
      </c>
      <c r="E107" s="16" t="n"/>
      <c r="F107" s="16" t="n"/>
      <c r="G107" s="16" t="n"/>
      <c r="H107" s="16" t="n"/>
      <c r="I107" s="16" t="n"/>
      <c r="J107" s="16" t="n"/>
      <c r="K107" s="16" t="n"/>
      <c r="L107" s="16" t="n"/>
      <c r="M107" s="17">
        <f>_xlfn.XLOOKUP(A107,'작업관리'!B:B,'작업관리'!E:E,"")</f>
        <v/>
      </c>
      <c r="N107" s="17">
        <f>_xlfn.XLOOKUP(A107,'작업관리'!B:B,'작업관리'!F:F,"")</f>
        <v/>
      </c>
      <c r="O107" s="17">
        <f>_xlfn.XLOOKUP(A107,'작업관리'!B:B,'작업관리'!G:G,"")</f>
        <v/>
      </c>
      <c r="P107" s="18" t="n">
        <v>46387</v>
      </c>
      <c r="Q107" s="17">
        <f>IF(N107="완료","완료",IF(N107="보류","보류",IF(N107="진행 중",IF(P107&lt;TODAY(),"딜레이","진행중"),IF(P107&lt;TODAY(),"딜레이",IF(TODAY()&gt;=DATE(YEAR(P107),MONTH(P107)-2,1),"임박","예정")))))</f>
        <v/>
      </c>
      <c r="R107" s="19">
        <f>IF(OR(N107="완료",N107="보류"),"-",IF(P107&lt;TODAY(),TODAY()-P107,""))</f>
        <v/>
      </c>
    </row>
    <row r="108" ht="18" customHeight="1">
      <c r="A108" s="14" t="inlineStr">
        <is>
          <t>폼 4종 손그림 아트 (gen1~3 · 픽셀 전환으로 대체됨)</t>
        </is>
      </c>
      <c r="B108" s="16" t="n"/>
      <c r="C108" s="16" t="n"/>
      <c r="D108" s="21" t="inlineStr">
        <is>
          <t>✓</t>
        </is>
      </c>
      <c r="E108" s="16" t="n"/>
      <c r="F108" s="16" t="n"/>
      <c r="G108" s="16" t="n"/>
      <c r="H108" s="16" t="n"/>
      <c r="I108" s="16" t="n"/>
      <c r="J108" s="16" t="n"/>
      <c r="K108" s="16" t="n"/>
      <c r="L108" s="16" t="n"/>
      <c r="M108" s="17">
        <f>_xlfn.XLOOKUP(A108,'작업관리'!B:B,'작업관리'!E:E,"")</f>
        <v/>
      </c>
      <c r="N108" s="17">
        <f>_xlfn.XLOOKUP(A108,'작업관리'!B:B,'작업관리'!F:F,"")</f>
        <v/>
      </c>
      <c r="O108" s="17">
        <f>_xlfn.XLOOKUP(A108,'작업관리'!B:B,'작업관리'!G:G,"")</f>
        <v/>
      </c>
      <c r="P108" s="18" t="n">
        <v>46387</v>
      </c>
      <c r="Q108" s="17">
        <f>IF(N108="완료","완료",IF(N108="보류","보류",IF(N108="진행 중",IF(P108&lt;TODAY(),"딜레이","진행중"),IF(P108&lt;TODAY(),"딜레이",IF(TODAY()&gt;=DATE(YEAR(P108),MONTH(P108)-2,1),"임박","예정")))))</f>
        <v/>
      </c>
      <c r="R108" s="19">
        <f>IF(OR(N108="완료",N108="보류"),"-",IF(P108&lt;TODAY(),TODAY()-P108,""))</f>
        <v/>
      </c>
    </row>
    <row r="109" ht="18" customHeight="1">
      <c r="A109" s="14" t="inlineStr">
        <is>
          <t>폼 4종 픽셀아트 재제작 (앵커+state 파생 · 무기 분리)</t>
        </is>
      </c>
      <c r="B109" s="16" t="n"/>
      <c r="C109" s="16" t="n"/>
      <c r="D109" s="36" t="n"/>
      <c r="E109" s="22" t="n"/>
      <c r="F109" s="16" t="n"/>
      <c r="G109" s="16" t="n"/>
      <c r="H109" s="16" t="n"/>
      <c r="I109" s="16" t="n"/>
      <c r="J109" s="16" t="n"/>
      <c r="K109" s="16" t="n"/>
      <c r="L109" s="16" t="n"/>
      <c r="M109" s="17">
        <f>_xlfn.XLOOKUP(A109,'작업관리'!B:B,'작업관리'!E:E,"")</f>
        <v/>
      </c>
      <c r="N109" s="17">
        <f>_xlfn.XLOOKUP(A109,'작업관리'!B:B,'작업관리'!F:F,"")</f>
        <v/>
      </c>
      <c r="O109" s="17">
        <f>_xlfn.XLOOKUP(A109,'작업관리'!B:B,'작업관리'!G:G,"")</f>
        <v/>
      </c>
      <c r="P109" s="18" t="n">
        <v>46477</v>
      </c>
      <c r="Q109" s="17">
        <f>IF(N109="완료","완료",IF(N109="보류","보류",IF(N109="진행 중",IF(P109&lt;TODAY(),"딜레이","진행중"),IF(P109&lt;TODAY(),"딜레이",IF(TODAY()&gt;=DATE(YEAR(P109),MONTH(P109)-2,1),"임박","예정")))))</f>
        <v/>
      </c>
      <c r="R109" s="19">
        <f>IF(OR(N109="완료",N109="보류"),"-",IF(P109&lt;TODAY(),TODAY()-P109,""))</f>
        <v/>
      </c>
    </row>
    <row r="110" ht="18" customHeight="1">
      <c r="A110" s="14" t="inlineStr">
        <is>
          <t>PixelLab 프로필 분할 + 방향 SE 문서 동기화 (671줄 → 4파일)</t>
        </is>
      </c>
      <c r="B110" s="16" t="n"/>
      <c r="C110" s="16" t="n"/>
      <c r="D110" s="21" t="inlineStr">
        <is>
          <t>✓</t>
        </is>
      </c>
      <c r="E110" s="16" t="n"/>
      <c r="F110" s="16" t="n"/>
      <c r="G110" s="16" t="n"/>
      <c r="H110" s="16" t="n"/>
      <c r="I110" s="16" t="n"/>
      <c r="J110" s="16" t="n"/>
      <c r="K110" s="16" t="n"/>
      <c r="L110" s="16" t="n"/>
      <c r="M110" s="17">
        <f>_xlfn.XLOOKUP(A110,'작업관리'!B:B,'작업관리'!E:E,"")</f>
        <v/>
      </c>
      <c r="N110" s="17">
        <f>_xlfn.XLOOKUP(A110,'작업관리'!B:B,'작업관리'!F:F,"")</f>
        <v/>
      </c>
      <c r="O110" s="17">
        <f>_xlfn.XLOOKUP(A110,'작업관리'!B:B,'작업관리'!G:G,"")</f>
        <v/>
      </c>
      <c r="P110" s="18" t="n">
        <v>46387</v>
      </c>
      <c r="Q110" s="17">
        <f>IF(N110="완료","완료",IF(N110="보류","보류",IF(N110="진행 중",IF(P110&lt;TODAY(),"딜레이","진행중"),IF(P110&lt;TODAY(),"딜레이",IF(TODAY()&gt;=DATE(YEAR(P110),MONTH(P110)-2,1),"임박","예정")))))</f>
        <v/>
      </c>
      <c r="R110" s="19">
        <f>IF(OR(N110="완료",N110="보류"),"-",IF(P110&lt;TODAY(),TODAY()-P110,""))</f>
        <v/>
      </c>
    </row>
    <row r="111" ht="18" customHeight="1">
      <c r="A111" s="14" t="inlineStr">
        <is>
          <t>폼 3벌 SE 몸 확정 (방패·궁수·투척 state · IoU 측정)</t>
        </is>
      </c>
      <c r="B111" s="16" t="n"/>
      <c r="C111" s="16" t="n"/>
      <c r="D111" s="21" t="inlineStr">
        <is>
          <t>✓</t>
        </is>
      </c>
      <c r="E111" s="16" t="n"/>
      <c r="F111" s="16" t="n"/>
      <c r="G111" s="16" t="n"/>
      <c r="H111" s="16" t="n"/>
      <c r="I111" s="16" t="n"/>
      <c r="J111" s="16" t="n"/>
      <c r="K111" s="16" t="n"/>
      <c r="L111" s="16" t="n"/>
      <c r="M111" s="17">
        <f>_xlfn.XLOOKUP(A111,'작업관리'!B:B,'작업관리'!E:E,"")</f>
        <v/>
      </c>
      <c r="N111" s="17">
        <f>_xlfn.XLOOKUP(A111,'작업관리'!B:B,'작업관리'!F:F,"")</f>
        <v/>
      </c>
      <c r="O111" s="17">
        <f>_xlfn.XLOOKUP(A111,'작업관리'!B:B,'작업관리'!G:G,"")</f>
        <v/>
      </c>
      <c r="P111" s="18" t="n">
        <v>46387</v>
      </c>
      <c r="Q111" s="17">
        <f>IF(N111="완료","완료",IF(N111="보류","보류",IF(N111="진행 중",IF(P111&lt;TODAY(),"딜레이","진행중"),IF(P111&lt;TODAY(),"딜레이",IF(TODAY()&gt;=DATE(YEAR(P111),MONTH(P111)-2,1),"임박","예정")))))</f>
        <v/>
      </c>
      <c r="R111" s="19">
        <f>IF(OR(N111="완료",N111="보류"),"-",IF(P111&lt;TODAY(),TODAY()-P111,""))</f>
        <v/>
      </c>
    </row>
    <row r="112" ht="18" customHeight="1">
      <c r="A112" s="14" t="inlineStr">
        <is>
          <t>폼 3벌 SE 9상태 애니메이션 생성 (27상태 · 잠정 3)</t>
        </is>
      </c>
      <c r="B112" s="16" t="n"/>
      <c r="C112" s="16" t="n"/>
      <c r="D112" s="21" t="inlineStr">
        <is>
          <t>✓</t>
        </is>
      </c>
      <c r="E112" s="16" t="n"/>
      <c r="F112" s="16" t="n"/>
      <c r="G112" s="16" t="n"/>
      <c r="H112" s="16" t="n"/>
      <c r="I112" s="16" t="n"/>
      <c r="J112" s="16" t="n"/>
      <c r="K112" s="16" t="n"/>
      <c r="L112" s="16" t="n"/>
      <c r="M112" s="17">
        <f>_xlfn.XLOOKUP(A112,'작업관리'!B:B,'작업관리'!E:E,"")</f>
        <v/>
      </c>
      <c r="N112" s="17">
        <f>_xlfn.XLOOKUP(A112,'작업관리'!B:B,'작업관리'!F:F,"")</f>
        <v/>
      </c>
      <c r="O112" s="17">
        <f>_xlfn.XLOOKUP(A112,'작업관리'!B:B,'작업관리'!G:G,"")</f>
        <v/>
      </c>
      <c r="P112" s="18" t="n">
        <v>46387</v>
      </c>
      <c r="Q112" s="17">
        <f>IF(N112="완료","완료",IF(N112="보류","보류",IF(N112="진행 중",IF(P112&lt;TODAY(),"딜레이","진행중"),IF(P112&lt;TODAY(),"딜레이",IF(TODAY()&gt;=DATE(YEAR(P112),MONTH(P112)-2,1),"임박","예정")))))</f>
        <v/>
      </c>
      <c r="R112" s="19">
        <f>IF(OR(N112="완료",N112="보류"),"-",IF(P112&lt;TODAY(),TODAY()-P112,""))</f>
        <v/>
      </c>
    </row>
    <row r="113" ht="18" customHeight="1">
      <c r="A113" s="14" t="inlineStr">
        <is>
          <t>폼 3벌 Unity 임포트·앵커·컨트롤러 배선 (R3)</t>
        </is>
      </c>
      <c r="B113" s="16" t="n"/>
      <c r="C113" s="16" t="n"/>
      <c r="D113" s="21" t="inlineStr">
        <is>
          <t>✓</t>
        </is>
      </c>
      <c r="E113" s="16" t="n"/>
      <c r="F113" s="16" t="n"/>
      <c r="G113" s="16" t="n"/>
      <c r="H113" s="16" t="n"/>
      <c r="I113" s="16" t="n"/>
      <c r="J113" s="16" t="n"/>
      <c r="K113" s="16" t="n"/>
      <c r="L113" s="16" t="n"/>
      <c r="M113" s="17">
        <f>_xlfn.XLOOKUP(A113,'작업관리'!B:B,'작업관리'!E:E,"")</f>
        <v/>
      </c>
      <c r="N113" s="17">
        <f>_xlfn.XLOOKUP(A113,'작업관리'!B:B,'작업관리'!F:F,"")</f>
        <v/>
      </c>
      <c r="O113" s="17">
        <f>_xlfn.XLOOKUP(A113,'작업관리'!B:B,'작업관리'!G:G,"")</f>
        <v/>
      </c>
      <c r="P113" s="18" t="n">
        <v>46387</v>
      </c>
      <c r="Q113" s="17">
        <f>IF(N113="완료","완료",IF(N113="보류","보류",IF(N113="진행 중",IF(P113&lt;TODAY(),"딜레이","진행중"),IF(P113&lt;TODAY(),"딜레이",IF(TODAY()&gt;=DATE(YEAR(P113),MONTH(P113)-2,1),"임박","예정")))))</f>
        <v/>
      </c>
      <c r="R113" s="19">
        <f>IF(OR(N113="완료",N113="보류"),"-",IF(P113&lt;TODAY(),TODAY()-P113,""))</f>
        <v/>
      </c>
    </row>
    <row r="114" ht="18" customHeight="1">
      <c r="A114" s="14" t="inlineStr">
        <is>
          <t>궁수·투척 원거리 기본 공격 (발사체 · 약 단발 / 강 3체 관통)</t>
        </is>
      </c>
      <c r="B114" s="16" t="n"/>
      <c r="C114" s="16" t="n"/>
      <c r="D114" s="16" t="n"/>
      <c r="E114" s="37" t="inlineStr">
        <is>
          <t>✓</t>
        </is>
      </c>
      <c r="F114" s="16" t="n"/>
      <c r="G114" s="16" t="n"/>
      <c r="H114" s="16" t="n"/>
      <c r="I114" s="16" t="n"/>
      <c r="J114" s="16" t="n"/>
      <c r="K114" s="16" t="n"/>
      <c r="L114" s="16" t="n"/>
      <c r="M114" s="17">
        <f>_xlfn.XLOOKUP(A114,'작업관리'!B:B,'작업관리'!E:E,"")</f>
        <v/>
      </c>
      <c r="N114" s="17">
        <f>_xlfn.XLOOKUP(A114,'작업관리'!B:B,'작업관리'!F:F,"")</f>
        <v/>
      </c>
      <c r="O114" s="17">
        <f>_xlfn.XLOOKUP(A114,'작업관리'!B:B,'작업관리'!G:G,"")</f>
        <v/>
      </c>
      <c r="P114" s="18" t="n">
        <v>46477</v>
      </c>
      <c r="Q114" s="17">
        <f>IF(N114="완료","완료",IF(N114="보류","보류",IF(N114="진행 중",IF(P114&lt;TODAY(),"딜레이","진행중"),IF(P114&lt;TODAY(),"딜레이",IF(TODAY()&gt;=DATE(YEAR(P114),MONTH(P114)-2,1),"임박","예정")))))</f>
        <v/>
      </c>
      <c r="R114" s="19">
        <f>IF(OR(N114="완료",N114="보류"),"-",IF(P114&lt;TODAY(),TODAY()-P114,""))</f>
        <v/>
      </c>
    </row>
    <row r="115" ht="18" customHeight="1">
      <c r="A115" s="14" t="inlineStr">
        <is>
          <t>방패병 가드 (X 누르고 있기 · 저스트 가드 · 자동 반격 1.5배)</t>
        </is>
      </c>
      <c r="B115" s="16" t="n"/>
      <c r="C115" s="16" t="n"/>
      <c r="D115" s="16" t="n"/>
      <c r="E115" s="37" t="inlineStr">
        <is>
          <t>✓</t>
        </is>
      </c>
      <c r="F115" s="16" t="n"/>
      <c r="G115" s="16" t="n"/>
      <c r="H115" s="16" t="n"/>
      <c r="I115" s="16" t="n"/>
      <c r="J115" s="16" t="n"/>
      <c r="K115" s="16" t="n"/>
      <c r="L115" s="16" t="n"/>
      <c r="M115" s="17">
        <f>_xlfn.XLOOKUP(A115,'작업관리'!B:B,'작업관리'!E:E,"")</f>
        <v/>
      </c>
      <c r="N115" s="17">
        <f>_xlfn.XLOOKUP(A115,'작업관리'!B:B,'작업관리'!F:F,"")</f>
        <v/>
      </c>
      <c r="O115" s="17">
        <f>_xlfn.XLOOKUP(A115,'작업관리'!B:B,'작업관리'!G:G,"")</f>
        <v/>
      </c>
      <c r="P115" s="18" t="n">
        <v>46477</v>
      </c>
      <c r="Q115" s="17">
        <f>IF(N115="완료","완료",IF(N115="보류","보류",IF(N115="진행 중",IF(P115&lt;TODAY(),"딜레이","진행중"),IF(P115&lt;TODAY(),"딜레이",IF(TODAY()&gt;=DATE(YEAR(P115),MONTH(P115)-2,1),"임박","예정")))))</f>
        <v/>
      </c>
      <c r="R115" s="19">
        <f>IF(OR(N115="완료",N115="보류"),"-",IF(P115&lt;TODAY(),TODAY()-P115,""))</f>
        <v/>
      </c>
    </row>
    <row r="116" ht="18" customHeight="1">
      <c r="A116" s="14" t="inlineStr">
        <is>
          <t>P03 4폼 역할 구별 (궁수 원거리 견제 · 투척사 근거리 한 방 · 검사 흡수 8%)</t>
        </is>
      </c>
      <c r="B116" s="16" t="n"/>
      <c r="C116" s="16" t="n"/>
      <c r="D116" s="16" t="n"/>
      <c r="E116" s="16" t="n"/>
      <c r="F116" s="38" t="inlineStr">
        <is>
          <t>✓</t>
        </is>
      </c>
      <c r="G116" s="16" t="n"/>
      <c r="H116" s="16" t="n"/>
      <c r="I116" s="16" t="n"/>
      <c r="J116" s="16" t="n"/>
      <c r="K116" s="16" t="n"/>
      <c r="L116" s="16" t="n"/>
      <c r="M116" s="17">
        <f>_xlfn.XLOOKUP(A116,'작업관리'!B:B,'작업관리'!E:E,"")</f>
        <v/>
      </c>
      <c r="N116" s="17">
        <f>_xlfn.XLOOKUP(A116,'작업관리'!B:B,'작업관리'!F:F,"")</f>
        <v/>
      </c>
      <c r="O116" s="17">
        <f>_xlfn.XLOOKUP(A116,'작업관리'!B:B,'작업관리'!G:G,"")</f>
        <v/>
      </c>
      <c r="P116" s="18" t="n">
        <v>46568</v>
      </c>
      <c r="Q116" s="17">
        <f>IF(N116="완료","완료",IF(N116="보류","보류",IF(N116="진행 중",IF(P116&lt;TODAY(),"딜레이","진행중"),IF(P116&lt;TODAY(),"딜레이",IF(TODAY()&gt;=DATE(YEAR(P116),MONTH(P116)-2,1),"임박","예정")))))</f>
        <v/>
      </c>
      <c r="R116" s="19">
        <f>IF(OR(N116="완료",N116="보류"),"-",IF(P116&lt;TODAY(),TODAY()-P116,""))</f>
        <v/>
      </c>
    </row>
    <row r="117" ht="18" customHeight="1">
      <c r="A117" s="14" t="inlineStr">
        <is>
          <t>P04 A/B/C 시범 · 시각 피드백 · A 입력 여유 (사용자 기능 검증)</t>
        </is>
      </c>
      <c r="B117" s="16" t="n"/>
      <c r="C117" s="16" t="n"/>
      <c r="D117" s="16" t="n"/>
      <c r="E117" s="16" t="n"/>
      <c r="F117" s="38" t="inlineStr">
        <is>
          <t>✓</t>
        </is>
      </c>
      <c r="G117" s="16" t="n"/>
      <c r="H117" s="16" t="n"/>
      <c r="I117" s="16" t="n"/>
      <c r="J117" s="16" t="n"/>
      <c r="K117" s="16" t="n"/>
      <c r="L117" s="16" t="n"/>
      <c r="M117" s="17">
        <f>_xlfn.XLOOKUP(A117,'작업관리'!B:B,'작업관리'!E:E,"")</f>
        <v/>
      </c>
      <c r="N117" s="17">
        <f>_xlfn.XLOOKUP(A117,'작업관리'!B:B,'작업관리'!F:F,"")</f>
        <v/>
      </c>
      <c r="O117" s="17">
        <f>_xlfn.XLOOKUP(A117,'작업관리'!B:B,'작업관리'!G:G,"")</f>
        <v/>
      </c>
      <c r="P117" s="18" t="n">
        <v>46568</v>
      </c>
      <c r="Q117" s="17">
        <f>IF(N117="완료","완료",IF(N117="보류","보류",IF(N117="진행 중",IF(P117&lt;TODAY(),"딜레이","진행중"),IF(P117&lt;TODAY(),"딜레이",IF(TODAY()&gt;=DATE(YEAR(P117),MONTH(P117)-2,1),"임박","예정")))))</f>
        <v/>
      </c>
      <c r="R117" s="19">
        <f>IF(OR(N117="완료",N117="보류"),"-",IF(P117&lt;TODAY(),TODAY()-P117,""))</f>
        <v/>
      </c>
    </row>
    <row r="118" ht="18" customHeight="1">
      <c r="A118" s="14" t="inlineStr">
        <is>
          <t>무기 스프라이트 4종 큐레이션 확정 (sword0·bow0·shield15·dagger6 · 반전은 날붙이만)</t>
        </is>
      </c>
      <c r="B118" s="16" t="n"/>
      <c r="C118" s="16" t="n"/>
      <c r="D118" s="21" t="inlineStr">
        <is>
          <t>✓</t>
        </is>
      </c>
      <c r="E118" s="16" t="n"/>
      <c r="F118" s="16" t="n"/>
      <c r="G118" s="16" t="n"/>
      <c r="H118" s="16" t="n"/>
      <c r="I118" s="16" t="n"/>
      <c r="J118" s="16" t="n"/>
      <c r="K118" s="16" t="n"/>
      <c r="L118" s="16" t="n"/>
      <c r="M118" s="17">
        <f>_xlfn.XLOOKUP(A118,'작업관리'!B:B,'작업관리'!E:E,"")</f>
        <v/>
      </c>
      <c r="N118" s="17">
        <f>_xlfn.XLOOKUP(A118,'작업관리'!B:B,'작업관리'!F:F,"")</f>
        <v/>
      </c>
      <c r="O118" s="17">
        <f>_xlfn.XLOOKUP(A118,'작업관리'!B:B,'작업관리'!G:G,"")</f>
        <v/>
      </c>
      <c r="P118" s="18" t="n">
        <v>46387</v>
      </c>
      <c r="Q118" s="17">
        <f>IF(N118="완료","완료",IF(N118="보류","보류",IF(N118="진행 중",IF(P118&lt;TODAY(),"딜레이","진행중"),IF(P118&lt;TODAY(),"딜레이",IF(TODAY()&gt;=DATE(YEAR(P118),MONTH(P118)-2,1),"임박","예정")))))</f>
        <v/>
      </c>
      <c r="R118" s="19">
        <f>IF(OR(N118="완료",N118="보류"),"-",IF(P118&lt;TODAY(),TODAY()-P118,""))</f>
        <v/>
      </c>
    </row>
    <row r="119" ht="18" customHeight="1">
      <c r="A119" s="14" t="inlineStr">
        <is>
          <t>적 12종 소설 기반 기획 + 화풍 확정(pro · 스컬식 문구)</t>
        </is>
      </c>
      <c r="B119" s="16" t="n"/>
      <c r="C119" s="16" t="n"/>
      <c r="D119" s="16" t="n"/>
      <c r="E119" s="37" t="inlineStr">
        <is>
          <t>✓</t>
        </is>
      </c>
      <c r="F119" s="16" t="n"/>
      <c r="G119" s="16" t="n"/>
      <c r="H119" s="16" t="n"/>
      <c r="I119" s="16" t="n"/>
      <c r="J119" s="16" t="n"/>
      <c r="K119" s="16" t="n"/>
      <c r="L119" s="16" t="n"/>
      <c r="M119" s="17">
        <f>_xlfn.XLOOKUP(A119,'작업관리'!B:B,'작업관리'!E:E,"")</f>
        <v/>
      </c>
      <c r="N119" s="17">
        <f>_xlfn.XLOOKUP(A119,'작업관리'!B:B,'작업관리'!F:F,"")</f>
        <v/>
      </c>
      <c r="O119" s="17">
        <f>_xlfn.XLOOKUP(A119,'작업관리'!B:B,'작업관리'!G:G,"")</f>
        <v/>
      </c>
      <c r="P119" s="18" t="n">
        <v>46477</v>
      </c>
      <c r="Q119" s="17">
        <f>IF(N119="완료","완료",IF(N119="보류","보류",IF(N119="진행 중",IF(P119&lt;TODAY(),"딜레이","진행중"),IF(P119&lt;TODAY(),"딜레이",IF(TODAY()&gt;=DATE(YEAR(P119),MONTH(P119)-2,1),"임박","예정")))))</f>
        <v/>
      </c>
      <c r="R119" s="19">
        <f>IF(OR(N119="완료",N119="보류"),"-",IF(P119&lt;TODAY(),TODAY()-P119,""))</f>
        <v/>
      </c>
    </row>
    <row r="120" ht="18" customHeight="1">
      <c r="A120" s="14" t="inlineStr">
        <is>
          <t>적 근접 병사(빈 갑옷) 몸 · 애니메이션 4 (SE · 건메탈)</t>
        </is>
      </c>
      <c r="B120" s="16" t="n"/>
      <c r="C120" s="16" t="n"/>
      <c r="D120" s="16" t="n"/>
      <c r="E120" s="37" t="inlineStr">
        <is>
          <t>✓</t>
        </is>
      </c>
      <c r="F120" s="16" t="n"/>
      <c r="G120" s="16" t="n"/>
      <c r="H120" s="16" t="n"/>
      <c r="I120" s="16" t="n"/>
      <c r="J120" s="16" t="n"/>
      <c r="K120" s="16" t="n"/>
      <c r="L120" s="16" t="n"/>
      <c r="M120" s="17">
        <f>_xlfn.XLOOKUP(A120,'작업관리'!B:B,'작업관리'!E:E,"")</f>
        <v/>
      </c>
      <c r="N120" s="17">
        <f>_xlfn.XLOOKUP(A120,'작업관리'!B:B,'작업관리'!F:F,"")</f>
        <v/>
      </c>
      <c r="O120" s="17">
        <f>_xlfn.XLOOKUP(A120,'작업관리'!B:B,'작업관리'!G:G,"")</f>
        <v/>
      </c>
      <c r="P120" s="18" t="n">
        <v>46477</v>
      </c>
      <c r="Q120" s="17">
        <f>IF(N120="완료","완료",IF(N120="보류","보류",IF(N120="진행 중",IF(P120&lt;TODAY(),"딜레이","진행중"),IF(P120&lt;TODAY(),"딜레이",IF(TODAY()&gt;=DATE(YEAR(P120),MONTH(P120)-2,1),"임박","예정")))))</f>
        <v/>
      </c>
      <c r="R120" s="19">
        <f>IF(OR(N120="완료",N120="보류"),"-",IF(P120&lt;TODAY(),TODAY()-P120,""))</f>
        <v/>
      </c>
    </row>
    <row r="121" ht="18" customHeight="1">
      <c r="A121" s="14" t="inlineStr">
        <is>
          <t>적 근접 병사 Unity 재생 (공격·경직 시간제 · Animator 재사용 · 적 빌더 1/12)</t>
        </is>
      </c>
      <c r="B121" s="16" t="n"/>
      <c r="C121" s="16" t="n"/>
      <c r="D121" s="16" t="n"/>
      <c r="E121" s="37" t="inlineStr">
        <is>
          <t>✓</t>
        </is>
      </c>
      <c r="F121" s="16" t="n"/>
      <c r="G121" s="16" t="n"/>
      <c r="H121" s="16" t="n"/>
      <c r="I121" s="16" t="n"/>
      <c r="J121" s="16" t="n"/>
      <c r="K121" s="16" t="n"/>
      <c r="L121" s="16" t="n"/>
      <c r="M121" s="17">
        <f>_xlfn.XLOOKUP(A121,'작업관리'!B:B,'작업관리'!E:E,"")</f>
        <v/>
      </c>
      <c r="N121" s="17">
        <f>_xlfn.XLOOKUP(A121,'작업관리'!B:B,'작업관리'!F:F,"")</f>
        <v/>
      </c>
      <c r="O121" s="17">
        <f>_xlfn.XLOOKUP(A121,'작업관리'!B:B,'작업관리'!G:G,"")</f>
        <v/>
      </c>
      <c r="P121" s="18" t="n">
        <v>46477</v>
      </c>
      <c r="Q121" s="17">
        <f>IF(N121="완료","완료",IF(N121="보류","보류",IF(N121="진행 중",IF(P121&lt;TODAY(),"딜레이","진행중"),IF(P121&lt;TODAY(),"딜레이",IF(TODAY()&gt;=DATE(YEAR(P121),MONTH(P121)-2,1),"임박","예정")))))</f>
        <v/>
      </c>
      <c r="R121" s="19">
        <f>IF(OR(N121="완료",N121="보류"),"-",IF(P121&lt;TODAY(),TODAY()-P121,""))</f>
        <v/>
      </c>
    </row>
    <row r="122" ht="18" customHeight="1">
      <c r="A122" s="14" t="inlineStr">
        <is>
          <t>적 중장 강적(녹으로 붙은 갑옷 둘) 몸 · 애니메이션 4 · Unity 재생 (2/12)</t>
        </is>
      </c>
      <c r="B122" s="16" t="n"/>
      <c r="C122" s="16" t="n"/>
      <c r="D122" s="16" t="n"/>
      <c r="E122" s="37" t="inlineStr">
        <is>
          <t>✓</t>
        </is>
      </c>
      <c r="F122" s="16" t="n"/>
      <c r="G122" s="16" t="n"/>
      <c r="H122" s="16" t="n"/>
      <c r="I122" s="16" t="n"/>
      <c r="J122" s="16" t="n"/>
      <c r="K122" s="16" t="n"/>
      <c r="L122" s="16" t="n"/>
      <c r="M122" s="17">
        <f>_xlfn.XLOOKUP(A122,'작업관리'!B:B,'작업관리'!E:E,"")</f>
        <v/>
      </c>
      <c r="N122" s="17">
        <f>_xlfn.XLOOKUP(A122,'작업관리'!B:B,'작업관리'!F:F,"")</f>
        <v/>
      </c>
      <c r="O122" s="17">
        <f>_xlfn.XLOOKUP(A122,'작업관리'!B:B,'작업관리'!G:G,"")</f>
        <v/>
      </c>
      <c r="P122" s="18" t="n">
        <v>46477</v>
      </c>
      <c r="Q122" s="17">
        <f>IF(N122="완료","완료",IF(N122="보류","보류",IF(N122="진행 중",IF(P122&lt;TODAY(),"딜레이","진행중"),IF(P122&lt;TODAY(),"딜레이",IF(TODAY()&gt;=DATE(YEAR(P122),MONTH(P122)-2,1),"임박","예정")))))</f>
        <v/>
      </c>
      <c r="R122" s="19">
        <f>IF(OR(N122="완료",N122="보류"),"-",IF(P122&lt;TODAY(),TODAY()-P122,""))</f>
        <v/>
      </c>
    </row>
    <row r="123" ht="18" customHeight="1">
      <c r="A123" s="14" t="inlineStr">
        <is>
          <t>적 원거리 사수(하늘을 겨눈 채 굳은 것) 몸 · 애니메이션 4 · Unity 재생 (3/12)</t>
        </is>
      </c>
      <c r="B123" s="16" t="n"/>
      <c r="C123" s="16" t="n"/>
      <c r="D123" s="16" t="n"/>
      <c r="E123" s="37" t="inlineStr">
        <is>
          <t>✓</t>
        </is>
      </c>
      <c r="F123" s="16" t="n"/>
      <c r="G123" s="16" t="n"/>
      <c r="H123" s="16" t="n"/>
      <c r="I123" s="16" t="n"/>
      <c r="J123" s="16" t="n"/>
      <c r="K123" s="16" t="n"/>
      <c r="L123" s="16" t="n"/>
      <c r="M123" s="17">
        <f>_xlfn.XLOOKUP(A123,'작업관리'!B:B,'작업관리'!E:E,"")</f>
        <v/>
      </c>
      <c r="N123" s="17">
        <f>_xlfn.XLOOKUP(A123,'작업관리'!B:B,'작업관리'!F:F,"")</f>
        <v/>
      </c>
      <c r="O123" s="17">
        <f>_xlfn.XLOOKUP(A123,'작업관리'!B:B,'작업관리'!G:G,"")</f>
        <v/>
      </c>
      <c r="P123" s="18" t="n">
        <v>46477</v>
      </c>
      <c r="Q123" s="17">
        <f>IF(N123="완료","완료",IF(N123="보류","보류",IF(N123="진행 중",IF(P123&lt;TODAY(),"딜레이","진행중"),IF(P123&lt;TODAY(),"딜레이",IF(TODAY()&gt;=DATE(YEAR(P123),MONTH(P123)-2,1),"임박","예정")))))</f>
        <v/>
      </c>
      <c r="R123" s="19">
        <f>IF(OR(N123="완료",N123="보류"),"-",IF(P123&lt;TODAY(),TODAY()-P123,""))</f>
        <v/>
      </c>
    </row>
    <row r="124" ht="18" customHeight="1">
      <c r="A124" s="14" t="inlineStr">
        <is>
          <t>적 발사 위치 그림 기준화 + 원거리 사수 곡사 화살 (Bug-048 · arcExplodes)</t>
        </is>
      </c>
      <c r="B124" s="16" t="n"/>
      <c r="C124" s="16" t="n"/>
      <c r="D124" s="16" t="n"/>
      <c r="E124" s="37" t="inlineStr">
        <is>
          <t>✓</t>
        </is>
      </c>
      <c r="F124" s="16" t="n"/>
      <c r="G124" s="16" t="n"/>
      <c r="H124" s="16" t="n"/>
      <c r="I124" s="16" t="n"/>
      <c r="J124" s="16" t="n"/>
      <c r="K124" s="16" t="n"/>
      <c r="L124" s="16" t="n"/>
      <c r="M124" s="17">
        <f>_xlfn.XLOOKUP(A124,'작업관리'!B:B,'작업관리'!E:E,"")</f>
        <v/>
      </c>
      <c r="N124" s="17">
        <f>_xlfn.XLOOKUP(A124,'작업관리'!B:B,'작업관리'!F:F,"")</f>
        <v/>
      </c>
      <c r="O124" s="17">
        <f>_xlfn.XLOOKUP(A124,'작업관리'!B:B,'작업관리'!G:G,"")</f>
        <v/>
      </c>
      <c r="P124" s="18" t="n">
        <v>46477</v>
      </c>
      <c r="Q124" s="17">
        <f>IF(N124="완료","완료",IF(N124="보류","보류",IF(N124="진행 중",IF(P124&lt;TODAY(),"딜레이","진행중"),IF(P124&lt;TODAY(),"딜레이",IF(TODAY()&gt;=DATE(YEAR(P124),MONTH(P124)-2,1),"임박","예정")))))</f>
        <v/>
      </c>
      <c r="R124" s="19">
        <f>IF(OR(N124="완료",N124="보류"),"-",IF(P124&lt;TODAY(),TODAY()-P124,""))</f>
        <v/>
      </c>
    </row>
    <row r="125" ht="18" customHeight="1">
      <c r="A125" s="14" t="inlineStr">
        <is>
          <t>적 뼈 궁수(재로 된 사수) 몸 · 애니메이션 4 · Unity 재생 (4/12)</t>
        </is>
      </c>
      <c r="B125" s="16" t="n"/>
      <c r="C125" s="16" t="n"/>
      <c r="D125" s="16" t="n"/>
      <c r="E125" s="37" t="inlineStr">
        <is>
          <t>✓</t>
        </is>
      </c>
      <c r="F125" s="16" t="n"/>
      <c r="G125" s="16" t="n"/>
      <c r="H125" s="16" t="n"/>
      <c r="I125" s="16" t="n"/>
      <c r="J125" s="16" t="n"/>
      <c r="K125" s="16" t="n"/>
      <c r="L125" s="16" t="n"/>
      <c r="M125" s="17">
        <f>_xlfn.XLOOKUP(A125,'작업관리'!B:B,'작업관리'!E:E,"")</f>
        <v/>
      </c>
      <c r="N125" s="17">
        <f>_xlfn.XLOOKUP(A125,'작업관리'!B:B,'작업관리'!F:F,"")</f>
        <v/>
      </c>
      <c r="O125" s="17">
        <f>_xlfn.XLOOKUP(A125,'작업관리'!B:B,'작업관리'!G:G,"")</f>
        <v/>
      </c>
      <c r="P125" s="18" t="n">
        <v>46477</v>
      </c>
      <c r="Q125" s="17">
        <f>IF(N125="완료","완료",IF(N125="보류","보류",IF(N125="진행 중",IF(P125&lt;TODAY(),"딜레이","진행중"),IF(P125&lt;TODAY(),"딜레이",IF(TODAY()&gt;=DATE(YEAR(P125),MONTH(P125)-2,1),"임박","예정")))))</f>
        <v/>
      </c>
      <c r="R125" s="19">
        <f>IF(OR(N125="완료",N125="보류"),"-",IF(P125&lt;TODAY(),TODAY()-P125,""))</f>
        <v/>
      </c>
    </row>
    <row r="126" ht="18" customHeight="1">
      <c r="A126" s="14" t="inlineStr">
        <is>
          <t>적 공허 술사(선이 하나도 없는 것) 몸 · 애니메이션 4 · Unity 재생 (5/12 · 떠 있는 적 · desaturate)</t>
        </is>
      </c>
      <c r="B126" s="16" t="n"/>
      <c r="C126" s="16" t="n"/>
      <c r="D126" s="16" t="n"/>
      <c r="E126" s="37" t="inlineStr">
        <is>
          <t>✓</t>
        </is>
      </c>
      <c r="F126" s="16" t="n"/>
      <c r="G126" s="16" t="n"/>
      <c r="H126" s="16" t="n"/>
      <c r="I126" s="16" t="n"/>
      <c r="J126" s="16" t="n"/>
      <c r="K126" s="16" t="n"/>
      <c r="L126" s="16" t="n"/>
      <c r="M126" s="17">
        <f>_xlfn.XLOOKUP(A126,'작업관리'!B:B,'작업관리'!E:E,"")</f>
        <v/>
      </c>
      <c r="N126" s="17">
        <f>_xlfn.XLOOKUP(A126,'작업관리'!B:B,'작업관리'!F:F,"")</f>
        <v/>
      </c>
      <c r="O126" s="17">
        <f>_xlfn.XLOOKUP(A126,'작업관리'!B:B,'작업관리'!G:G,"")</f>
        <v/>
      </c>
      <c r="P126" s="18" t="n">
        <v>46477</v>
      </c>
      <c r="Q126" s="17">
        <f>IF(N126="완료","완료",IF(N126="보류","보류",IF(N126="진행 중",IF(P126&lt;TODAY(),"딜레이","진행중"),IF(P126&lt;TODAY(),"딜레이",IF(TODAY()&gt;=DATE(YEAR(P126),MONTH(P126)-2,1),"임박","예정")))))</f>
        <v/>
      </c>
      <c r="R126" s="19">
        <f>IF(OR(N126="완료",N126="보류"),"-",IF(P126&lt;TODAY(),TODAY()-P126,""))</f>
        <v/>
      </c>
    </row>
    <row r="127" ht="18" customHeight="1">
      <c r="A127" s="14" t="inlineStr">
        <is>
          <t>적 화염 박격포(아직 내려오는 중인 것) 몸 · 애니메이션 4 · Unity 재생 (6/12 · 원거리 4종 완결)</t>
        </is>
      </c>
      <c r="B127" s="16" t="n"/>
      <c r="C127" s="16" t="n"/>
      <c r="D127" s="16" t="n"/>
      <c r="E127" s="37" t="inlineStr">
        <is>
          <t>✓</t>
        </is>
      </c>
      <c r="F127" s="16" t="n"/>
      <c r="G127" s="16" t="n"/>
      <c r="H127" s="16" t="n"/>
      <c r="I127" s="16" t="n"/>
      <c r="J127" s="16" t="n"/>
      <c r="K127" s="16" t="n"/>
      <c r="L127" s="16" t="n"/>
      <c r="M127" s="17">
        <f>_xlfn.XLOOKUP(A127,'작업관리'!B:B,'작업관리'!E:E,"")</f>
        <v/>
      </c>
      <c r="N127" s="17">
        <f>_xlfn.XLOOKUP(A127,'작업관리'!B:B,'작업관리'!F:F,"")</f>
        <v/>
      </c>
      <c r="O127" s="17">
        <f>_xlfn.XLOOKUP(A127,'작업관리'!B:B,'작업관리'!G:G,"")</f>
        <v/>
      </c>
      <c r="P127" s="18" t="n">
        <v>46477</v>
      </c>
      <c r="Q127" s="17">
        <f>IF(N127="완료","완료",IF(N127="보류","보류",IF(N127="진행 중",IF(P127&lt;TODAY(),"딜레이","진행중"),IF(P127&lt;TODAY(),"딜레이",IF(TODAY()&gt;=DATE(YEAR(P127),MONTH(P127)-2,1),"임박","예정")))))</f>
        <v/>
      </c>
      <c r="R127" s="19">
        <f>IF(OR(N127="완료",N127="보류"),"-",IF(P127&lt;TODAY(),TODAY()-P127,""))</f>
        <v/>
      </c>
    </row>
    <row r="128" ht="18" customHeight="1">
      <c r="A128" s="14" t="inlineStr">
        <is>
          <t>적 엘리트 사냥꾼(흉내를 내다 만 것) 몸 · 애니메이션 4 · Unity 재생 (7/12 · 첫 정예 80px · 캔버스 120)</t>
        </is>
      </c>
      <c r="B128" s="16" t="n"/>
      <c r="C128" s="16" t="n"/>
      <c r="D128" s="16" t="n"/>
      <c r="E128" s="37" t="inlineStr">
        <is>
          <t>✓</t>
        </is>
      </c>
      <c r="F128" s="16" t="n"/>
      <c r="G128" s="16" t="n"/>
      <c r="H128" s="16" t="n"/>
      <c r="I128" s="16" t="n"/>
      <c r="J128" s="16" t="n"/>
      <c r="K128" s="16" t="n"/>
      <c r="L128" s="16" t="n"/>
      <c r="M128" s="17">
        <f>_xlfn.XLOOKUP(A128,'작업관리'!B:B,'작업관리'!E:E,"")</f>
        <v/>
      </c>
      <c r="N128" s="17">
        <f>_xlfn.XLOOKUP(A128,'작업관리'!B:B,'작업관리'!F:F,"")</f>
        <v/>
      </c>
      <c r="O128" s="17">
        <f>_xlfn.XLOOKUP(A128,'작업관리'!B:B,'작업관리'!G:G,"")</f>
        <v/>
      </c>
      <c r="P128" s="18" t="n">
        <v>46477</v>
      </c>
      <c r="Q128" s="17">
        <f>IF(N128="완료","완료",IF(N128="보류","보류",IF(N128="진행 중",IF(P128&lt;TODAY(),"딜레이","진행중"),IF(P128&lt;TODAY(),"딜레이",IF(TODAY()&gt;=DATE(YEAR(P128),MONTH(P128)-2,1),"임박","예정")))))</f>
        <v/>
      </c>
      <c r="R128" s="19">
        <f>IF(OR(N128="완료",N128="보류"),"-",IF(P128&lt;TODAY(),TODAY()-P128,""))</f>
        <v/>
      </c>
    </row>
    <row r="129" ht="18" customHeight="1">
      <c r="A129" s="14" t="inlineStr">
        <is>
          <t>적 감시자 거인(제 아래를 갈아 없앤 것) 몸 R4 · 애니메이션 4 · 시트 (8/12 · 첫 중간보스 · 적 칸 148 · 컨셉 교체로 다리 해결 · 사망은 손 조립)</t>
        </is>
      </c>
      <c r="B129" s="16" t="n"/>
      <c r="C129" s="16" t="n"/>
      <c r="D129" s="16" t="n"/>
      <c r="E129" s="37" t="inlineStr">
        <is>
          <t>✓</t>
        </is>
      </c>
      <c r="F129" s="16" t="n"/>
      <c r="G129" s="16" t="n"/>
      <c r="H129" s="16" t="n"/>
      <c r="I129" s="16" t="n"/>
      <c r="J129" s="16" t="n"/>
      <c r="K129" s="16" t="n"/>
      <c r="L129" s="16" t="n"/>
      <c r="M129" s="17">
        <f>_xlfn.XLOOKUP(A129,'작업관리'!B:B,'작업관리'!E:E,"")</f>
        <v/>
      </c>
      <c r="N129" s="17">
        <f>_xlfn.XLOOKUP(A129,'작업관리'!B:B,'작업관리'!F:F,"")</f>
        <v/>
      </c>
      <c r="O129" s="17">
        <f>_xlfn.XLOOKUP(A129,'작업관리'!B:B,'작업관리'!G:G,"")</f>
        <v/>
      </c>
      <c r="P129" s="18" t="n">
        <v>46477</v>
      </c>
      <c r="Q129" s="17">
        <f>IF(N129="완료","완료",IF(N129="보류","보류",IF(N129="진행 중",IF(P129&lt;TODAY(),"딜레이","진행중"),IF(P129&lt;TODAY(),"딜레이",IF(TODAY()&gt;=DATE(YEAR(P129),MONTH(P129)-2,1),"임박","예정")))))</f>
        <v/>
      </c>
      <c r="R129" s="19">
        <f>IF(OR(N129="완료",N129="보류"),"-",IF(P129&lt;TODAY(),TODAY()-P129,""))</f>
        <v/>
      </c>
    </row>
    <row r="130" ht="18" customHeight="1">
      <c r="A130" s="14" t="inlineStr">
        <is>
          <t>적 12종 픽셀아트 재제작</t>
        </is>
      </c>
      <c r="B130" s="16" t="n"/>
      <c r="C130" s="16" t="n"/>
      <c r="D130" s="16" t="n"/>
      <c r="E130" s="22" t="n"/>
      <c r="F130" s="23" t="n"/>
      <c r="G130" s="16" t="n"/>
      <c r="H130" s="16" t="n"/>
      <c r="I130" s="16" t="n"/>
      <c r="J130" s="16" t="n"/>
      <c r="K130" s="16" t="n"/>
      <c r="L130" s="16" t="n"/>
      <c r="M130" s="17">
        <f>_xlfn.XLOOKUP(A130,'작업관리'!B:B,'작업관리'!E:E,"")</f>
        <v/>
      </c>
      <c r="N130" s="17">
        <f>_xlfn.XLOOKUP(A130,'작업관리'!B:B,'작업관리'!F:F,"")</f>
        <v/>
      </c>
      <c r="O130" s="17">
        <f>_xlfn.XLOOKUP(A130,'작업관리'!B:B,'작업관리'!G:G,"")</f>
        <v/>
      </c>
      <c r="P130" s="18" t="n">
        <v>46568</v>
      </c>
      <c r="Q130" s="17">
        <f>IF(N130="완료","완료",IF(N130="보류","보류",IF(N130="진행 중",IF(P130&lt;TODAY(),"딜레이","진행중"),IF(P130&lt;TODAY(),"딜레이",IF(TODAY()&gt;=DATE(YEAR(P130),MONTH(P130)-2,1),"임박","예정")))))</f>
        <v/>
      </c>
      <c r="R130" s="19">
        <f>IF(OR(N130="완료",N130="보류"),"-",IF(P130&lt;TODAY(),TODAY()-P130,""))</f>
        <v/>
      </c>
    </row>
    <row r="131" ht="18" customHeight="1">
      <c r="A131" s="14" t="inlineStr">
        <is>
          <t>플레이어 프리팹 기하 정규화 (물리/시각 분리)</t>
        </is>
      </c>
      <c r="B131" s="16" t="n"/>
      <c r="C131" s="16" t="n"/>
      <c r="D131" s="21" t="inlineStr">
        <is>
          <t>✓</t>
        </is>
      </c>
      <c r="E131" s="16" t="n"/>
      <c r="F131" s="16" t="n"/>
      <c r="G131" s="16" t="n"/>
      <c r="H131" s="16" t="n"/>
      <c r="I131" s="16" t="n"/>
      <c r="J131" s="16" t="n"/>
      <c r="K131" s="16" t="n"/>
      <c r="L131" s="16" t="n"/>
      <c r="M131" s="17">
        <f>_xlfn.XLOOKUP(A131,'작업관리'!B:B,'작업관리'!E:E,"")</f>
        <v/>
      </c>
      <c r="N131" s="17">
        <f>_xlfn.XLOOKUP(A131,'작업관리'!B:B,'작업관리'!F:F,"")</f>
        <v/>
      </c>
      <c r="O131" s="17">
        <f>_xlfn.XLOOKUP(A131,'작업관리'!B:B,'작업관리'!G:G,"")</f>
        <v/>
      </c>
      <c r="P131" s="18" t="n">
        <v>46387</v>
      </c>
      <c r="Q131" s="17">
        <f>IF(N131="완료","완료",IF(N131="보류","보류",IF(N131="진행 중",IF(P131&lt;TODAY(),"딜레이","진행중"),IF(P131&lt;TODAY(),"딜레이",IF(TODAY()&gt;=DATE(YEAR(P131),MONTH(P131)-2,1),"임박","예정")))))</f>
        <v/>
      </c>
      <c r="R131" s="19">
        <f>IF(OR(N131="완료",N131="보류"),"-",IF(P131&lt;TODAY(),TODAY()-P131,""))</f>
        <v/>
      </c>
    </row>
    <row r="132" ht="18" customHeight="1">
      <c r="A132" s="14" t="inlineStr">
        <is>
          <t>아트 생성기 전환 (웹 image_gen -&gt; NovelAI -&gt; PixelLab Pro v2)</t>
        </is>
      </c>
      <c r="B132" s="16" t="n"/>
      <c r="C132" s="16" t="n"/>
      <c r="D132" s="21" t="inlineStr">
        <is>
          <t>✓</t>
        </is>
      </c>
      <c r="E132" s="16" t="n"/>
      <c r="F132" s="16" t="n"/>
      <c r="G132" s="16" t="n"/>
      <c r="H132" s="16" t="n"/>
      <c r="I132" s="16" t="n"/>
      <c r="J132" s="16" t="n"/>
      <c r="K132" s="16" t="n"/>
      <c r="L132" s="16" t="n"/>
      <c r="M132" s="17">
        <f>_xlfn.XLOOKUP(A132,'작업관리'!B:B,'작업관리'!E:E,"")</f>
        <v/>
      </c>
      <c r="N132" s="17">
        <f>_xlfn.XLOOKUP(A132,'작업관리'!B:B,'작업관리'!F:F,"")</f>
        <v/>
      </c>
      <c r="O132" s="17">
        <f>_xlfn.XLOOKUP(A132,'작업관리'!B:B,'작업관리'!G:G,"")</f>
        <v/>
      </c>
      <c r="P132" s="18" t="n">
        <v>46387</v>
      </c>
      <c r="Q132" s="17">
        <f>IF(N132="완료","완료",IF(N132="보류","보류",IF(N132="진행 중",IF(P132&lt;TODAY(),"딜레이","진행중"),IF(P132&lt;TODAY(),"딜레이",IF(TODAY()&gt;=DATE(YEAR(P132),MONTH(P132)-2,1),"임박","예정")))))</f>
        <v/>
      </c>
      <c r="R132" s="19">
        <f>IF(OR(N132="완료",N132="보류"),"-",IF(P132&lt;TODAY(),TODAY()-P132,""))</f>
        <v/>
      </c>
    </row>
    <row r="133" ht="18" customHeight="1">
      <c r="A133" s="14" t="inlineStr">
        <is>
          <t>애니메이션 방침 확정 (리깅 폐기 -&gt; 프레임 6~8장)</t>
        </is>
      </c>
      <c r="B133" s="16" t="n"/>
      <c r="C133" s="16" t="n"/>
      <c r="D133" s="21" t="inlineStr">
        <is>
          <t>✓</t>
        </is>
      </c>
      <c r="E133" s="16" t="n"/>
      <c r="F133" s="16" t="n"/>
      <c r="G133" s="16" t="n"/>
      <c r="H133" s="16" t="n"/>
      <c r="I133" s="16" t="n"/>
      <c r="J133" s="16" t="n"/>
      <c r="K133" s="16" t="n"/>
      <c r="L133" s="16" t="n"/>
      <c r="M133" s="17">
        <f>_xlfn.XLOOKUP(A133,'작업관리'!B:B,'작업관리'!E:E,"")</f>
        <v/>
      </c>
      <c r="N133" s="17">
        <f>_xlfn.XLOOKUP(A133,'작업관리'!B:B,'작업관리'!F:F,"")</f>
        <v/>
      </c>
      <c r="O133" s="17">
        <f>_xlfn.XLOOKUP(A133,'작업관리'!B:B,'작업관리'!G:G,"")</f>
        <v/>
      </c>
      <c r="P133" s="18" t="n">
        <v>46387</v>
      </c>
      <c r="Q133" s="17">
        <f>IF(N133="완료","완료",IF(N133="보류","보류",IF(N133="진행 중",IF(P133&lt;TODAY(),"딜레이","진행중"),IF(P133&lt;TODAY(),"딜레이",IF(TODAY()&gt;=DATE(YEAR(P133),MONTH(P133)-2,1),"임박","예정")))))</f>
        <v/>
      </c>
      <c r="R133" s="19">
        <f>IF(OR(N133="완료",N133="보류"),"-",IF(P133&lt;TODAY(),TODAY()-P133,""))</f>
        <v/>
      </c>
    </row>
    <row r="134" ht="18" customHeight="1">
      <c r="A134" s="14" t="inlineStr">
        <is>
          <t>NovelAI 프롬프트 체계 (dark_blade 9상태 45프레임)</t>
        </is>
      </c>
      <c r="B134" s="16" t="n"/>
      <c r="C134" s="16" t="n"/>
      <c r="D134" s="21" t="inlineStr">
        <is>
          <t>✓</t>
        </is>
      </c>
      <c r="E134" s="16" t="n"/>
      <c r="F134" s="16" t="n"/>
      <c r="G134" s="16" t="n"/>
      <c r="H134" s="16" t="n"/>
      <c r="I134" s="16" t="n"/>
      <c r="J134" s="16" t="n"/>
      <c r="K134" s="16" t="n"/>
      <c r="L134" s="16" t="n"/>
      <c r="M134" s="17">
        <f>_xlfn.XLOOKUP(A134,'작업관리'!B:B,'작업관리'!E:E,"")</f>
        <v/>
      </c>
      <c r="N134" s="17">
        <f>_xlfn.XLOOKUP(A134,'작업관리'!B:B,'작업관리'!F:F,"")</f>
        <v/>
      </c>
      <c r="O134" s="17">
        <f>_xlfn.XLOOKUP(A134,'작업관리'!B:B,'작업관리'!G:G,"")</f>
        <v/>
      </c>
      <c r="P134" s="18" t="n">
        <v>46387</v>
      </c>
      <c r="Q134" s="17">
        <f>IF(N134="완료","완료",IF(N134="보류","보류",IF(N134="진행 중",IF(P134&lt;TODAY(),"딜레이","진행중"),IF(P134&lt;TODAY(),"딜레이",IF(TODAY()&gt;=DATE(YEAR(P134),MONTH(P134)-2,1),"임박","예정")))))</f>
        <v/>
      </c>
      <c r="R134" s="19">
        <f>IF(OR(N134="완료",N134="보류"),"-",IF(P134&lt;TODAY(),TODAY()-P134,""))</f>
        <v/>
      </c>
    </row>
    <row r="135" ht="18" customHeight="1">
      <c r="A135" s="14" t="inlineStr">
        <is>
          <t>아트 프롬프트 체계 재작성 (소설 SoT + 내구도 6층)</t>
        </is>
      </c>
      <c r="B135" s="16" t="n"/>
      <c r="C135" s="16" t="n"/>
      <c r="D135" s="21" t="inlineStr">
        <is>
          <t>✓</t>
        </is>
      </c>
      <c r="E135" s="16" t="n"/>
      <c r="F135" s="16" t="n"/>
      <c r="G135" s="16" t="n"/>
      <c r="H135" s="16" t="n"/>
      <c r="I135" s="16" t="n"/>
      <c r="J135" s="16" t="n"/>
      <c r="K135" s="16" t="n"/>
      <c r="L135" s="16" t="n"/>
      <c r="M135" s="17">
        <f>_xlfn.XLOOKUP(A135,'작업관리'!B:B,'작업관리'!E:E,"")</f>
        <v/>
      </c>
      <c r="N135" s="17">
        <f>_xlfn.XLOOKUP(A135,'작업관리'!B:B,'작업관리'!F:F,"")</f>
        <v/>
      </c>
      <c r="O135" s="17">
        <f>_xlfn.XLOOKUP(A135,'작업관리'!B:B,'작업관리'!G:G,"")</f>
        <v/>
      </c>
      <c r="P135" s="18" t="n">
        <v>46387</v>
      </c>
      <c r="Q135" s="17">
        <f>IF(N135="완료","완료",IF(N135="보류","보류",IF(N135="진행 중",IF(P135&lt;TODAY(),"딜레이","진행중"),IF(P135&lt;TODAY(),"딜레이",IF(TODAY()&gt;=DATE(YEAR(P135),MONTH(P135)-2,1),"임박","예정")))))</f>
        <v/>
      </c>
      <c r="R135" s="19">
        <f>IF(OR(N135="완료",N135="보류"),"-",IF(P135&lt;TODAY(),TODAY()-P135,""))</f>
        <v/>
      </c>
    </row>
    <row r="136" ht="18" customHeight="1">
      <c r="A136" s="14" t="inlineStr">
        <is>
          <t>팔레트 집행 후처리 이관 + PixelLab Pro(v2) 전환</t>
        </is>
      </c>
      <c r="B136" s="16" t="n"/>
      <c r="C136" s="16" t="n"/>
      <c r="D136" s="21" t="inlineStr">
        <is>
          <t>✓</t>
        </is>
      </c>
      <c r="E136" s="16" t="n"/>
      <c r="F136" s="16" t="n"/>
      <c r="G136" s="16" t="n"/>
      <c r="H136" s="16" t="n"/>
      <c r="I136" s="16" t="n"/>
      <c r="J136" s="16" t="n"/>
      <c r="K136" s="16" t="n"/>
      <c r="L136" s="16" t="n"/>
      <c r="M136" s="17">
        <f>_xlfn.XLOOKUP(A136,'작업관리'!B:B,'작업관리'!E:E,"")</f>
        <v/>
      </c>
      <c r="N136" s="17">
        <f>_xlfn.XLOOKUP(A136,'작업관리'!B:B,'작업관리'!F:F,"")</f>
        <v/>
      </c>
      <c r="O136" s="17">
        <f>_xlfn.XLOOKUP(A136,'작업관리'!B:B,'작업관리'!G:G,"")</f>
        <v/>
      </c>
      <c r="P136" s="18" t="n">
        <v>46387</v>
      </c>
      <c r="Q136" s="17">
        <f>IF(N136="완료","완료",IF(N136="보류","보류",IF(N136="진행 중",IF(P136&lt;TODAY(),"딜레이","진행중"),IF(P136&lt;TODAY(),"딜레이",IF(TODAY()&gt;=DATE(YEAR(P136),MONTH(P136)-2,1),"임박","예정")))))</f>
        <v/>
      </c>
      <c r="R136" s="19">
        <f>IF(OR(N136="완료",N136="보류"),"-",IF(P136&lt;TODAY(),TODAY()-P136,""))</f>
        <v/>
      </c>
    </row>
    <row r="137" ht="18" customHeight="1">
      <c r="A137" s="14" t="inlineStr">
        <is>
          <t>환경 8씬 아트 제작 (stage1 완료 1/8 · 앵커+파생 27장)</t>
        </is>
      </c>
      <c r="B137" s="16" t="n"/>
      <c r="C137" s="16" t="n"/>
      <c r="D137" s="36" t="n"/>
      <c r="E137" s="22" t="n"/>
      <c r="F137" s="16" t="n"/>
      <c r="G137" s="16" t="n"/>
      <c r="H137" s="16" t="n"/>
      <c r="I137" s="16" t="n"/>
      <c r="J137" s="16" t="n"/>
      <c r="K137" s="16" t="n"/>
      <c r="L137" s="16" t="n"/>
      <c r="M137" s="17">
        <f>_xlfn.XLOOKUP(A137,'작업관리'!B:B,'작업관리'!E:E,"")</f>
        <v/>
      </c>
      <c r="N137" s="17">
        <f>_xlfn.XLOOKUP(A137,'작업관리'!B:B,'작업관리'!F:F,"")</f>
        <v/>
      </c>
      <c r="O137" s="17">
        <f>_xlfn.XLOOKUP(A137,'작업관리'!B:B,'작업관리'!G:G,"")</f>
        <v/>
      </c>
      <c r="P137" s="18" t="n">
        <v>46477</v>
      </c>
      <c r="Q137" s="17">
        <f>IF(N137="완료","완료",IF(N137="보류","보류",IF(N137="진행 중",IF(P137&lt;TODAY(),"딜레이","진행중"),IF(P137&lt;TODAY(),"딜레이",IF(TODAY()&gt;=DATE(YEAR(P137),MONTH(P137)-2,1),"임박","예정")))))</f>
        <v/>
      </c>
      <c r="R137" s="19">
        <f>IF(OR(N137="완료",N137="보류"),"-",IF(P137&lt;TODAY(),TODAY()-P137,""))</f>
        <v/>
      </c>
    </row>
    <row r="138" ht="18" customHeight="1">
      <c r="A138" s="14" t="inlineStr">
        <is>
          <t>Stage1 환경 Run 적용 (일반/보스 방 배경 구분 · 발판 스킨 17 · 콜라이더 변경 0 · wave2)</t>
        </is>
      </c>
      <c r="B138" s="16" t="n"/>
      <c r="C138" s="16" t="n"/>
      <c r="D138" s="16" t="n"/>
      <c r="E138" s="37" t="inlineStr">
        <is>
          <t>✓</t>
        </is>
      </c>
      <c r="F138" s="16" t="n"/>
      <c r="G138" s="16" t="n"/>
      <c r="H138" s="16" t="n"/>
      <c r="I138" s="16" t="n"/>
      <c r="J138" s="16" t="n"/>
      <c r="K138" s="16" t="n"/>
      <c r="L138" s="16" t="n"/>
      <c r="M138" s="17">
        <f>_xlfn.XLOOKUP(A138,'작업관리'!B:B,'작업관리'!E:E,"")</f>
        <v/>
      </c>
      <c r="N138" s="17">
        <f>_xlfn.XLOOKUP(A138,'작업관리'!B:B,'작업관리'!F:F,"")</f>
        <v/>
      </c>
      <c r="O138" s="17">
        <f>_xlfn.XLOOKUP(A138,'작업관리'!B:B,'작업관리'!G:G,"")</f>
        <v/>
      </c>
      <c r="P138" s="18" t="n">
        <v>46477</v>
      </c>
      <c r="Q138" s="17">
        <f>IF(N138="완료","완료",IF(N138="보류","보류",IF(N138="진행 중",IF(P138&lt;TODAY(),"딜레이","진행중"),IF(P138&lt;TODAY(),"딜레이",IF(TODAY()&gt;=DATE(YEAR(P138),MONTH(P138)-2,1),"임박","예정")))))</f>
        <v/>
      </c>
      <c r="R138" s="19">
        <f>IF(OR(N138="완료",N138="보류"),"-",IF(P138&lt;TODAY(),TODAY()-P138,""))</f>
        <v/>
      </c>
    </row>
    <row r="139" ht="18" customHeight="1">
      <c r="A139" s="14" t="inlineStr">
        <is>
          <t>흰 거터 자동 크롭 + 팔레트 집행 픽스처 41건</t>
        </is>
      </c>
      <c r="B139" s="16" t="n"/>
      <c r="C139" s="16" t="n"/>
      <c r="D139" s="21" t="inlineStr">
        <is>
          <t>✓</t>
        </is>
      </c>
      <c r="E139" s="16" t="n"/>
      <c r="F139" s="16" t="n"/>
      <c r="G139" s="16" t="n"/>
      <c r="H139" s="16" t="n"/>
      <c r="I139" s="16" t="n"/>
      <c r="J139" s="16" t="n"/>
      <c r="K139" s="16" t="n"/>
      <c r="L139" s="16" t="n"/>
      <c r="M139" s="17">
        <f>_xlfn.XLOOKUP(A139,'작업관리'!B:B,'작업관리'!E:E,"")</f>
        <v/>
      </c>
      <c r="N139" s="17">
        <f>_xlfn.XLOOKUP(A139,'작업관리'!B:B,'작업관리'!F:F,"")</f>
        <v/>
      </c>
      <c r="O139" s="17">
        <f>_xlfn.XLOOKUP(A139,'작업관리'!B:B,'작업관리'!G:G,"")</f>
        <v/>
      </c>
      <c r="P139" s="18" t="n">
        <v>46387</v>
      </c>
      <c r="Q139" s="17">
        <f>IF(N139="완료","완료",IF(N139="보류","보류",IF(N139="진행 중",IF(P139&lt;TODAY(),"딜레이","진행중"),IF(P139&lt;TODAY(),"딜레이",IF(TODAY()&gt;=DATE(YEAR(P139),MONTH(P139)-2,1),"임박","예정")))))</f>
        <v/>
      </c>
      <c r="R139" s="19">
        <f>IF(OR(N139="완료",N139="보류"),"-",IF(P139&lt;TODAY(),TODAY()-P139,""))</f>
        <v/>
      </c>
    </row>
    <row r="140" ht="18" customHeight="1">
      <c r="A140" s="14" t="inlineStr">
        <is>
          <t>환경 아트 임포트 규약 + ParallaxLayer + 아트 테스트 스테이지</t>
        </is>
      </c>
      <c r="B140" s="16" t="n"/>
      <c r="C140" s="16" t="n"/>
      <c r="D140" s="21" t="inlineStr">
        <is>
          <t>✓</t>
        </is>
      </c>
      <c r="E140" s="16" t="n"/>
      <c r="F140" s="16" t="n"/>
      <c r="G140" s="16" t="n"/>
      <c r="H140" s="16" t="n"/>
      <c r="I140" s="16" t="n"/>
      <c r="J140" s="16" t="n"/>
      <c r="K140" s="16" t="n"/>
      <c r="L140" s="16" t="n"/>
      <c r="M140" s="17">
        <f>_xlfn.XLOOKUP(A140,'작업관리'!B:B,'작업관리'!E:E,"")</f>
        <v/>
      </c>
      <c r="N140" s="17">
        <f>_xlfn.XLOOKUP(A140,'작업관리'!B:B,'작업관리'!F:F,"")</f>
        <v/>
      </c>
      <c r="O140" s="17">
        <f>_xlfn.XLOOKUP(A140,'작업관리'!B:B,'작업관리'!G:G,"")</f>
        <v/>
      </c>
      <c r="P140" s="18" t="n">
        <v>46387</v>
      </c>
      <c r="Q140" s="17">
        <f>IF(N140="완료","완료",IF(N140="보류","보류",IF(N140="진행 중",IF(P140&lt;TODAY(),"딜레이","진행중"),IF(P140&lt;TODAY(),"딜레이",IF(TODAY()&gt;=DATE(YEAR(P140),MONTH(P140)-2,1),"임박","예정")))))</f>
        <v/>
      </c>
      <c r="R140" s="19">
        <f>IF(OR(N140="완료",N140="보류"),"-",IF(P140&lt;TODAY(),TODAY()-P140,""))</f>
        <v/>
      </c>
    </row>
    <row r="141" ht="18" customHeight="1">
      <c r="A141" s="14" t="inlineStr">
        <is>
          <t>FHD 정수배율 확정 + 벽/지면 타일셋 재생성(위3단 0%)</t>
        </is>
      </c>
      <c r="B141" s="16" t="n"/>
      <c r="C141" s="16" t="n"/>
      <c r="D141" s="21" t="inlineStr">
        <is>
          <t>✓</t>
        </is>
      </c>
      <c r="E141" s="16" t="n"/>
      <c r="F141" s="16" t="n"/>
      <c r="G141" s="16" t="n"/>
      <c r="H141" s="16" t="n"/>
      <c r="I141" s="16" t="n"/>
      <c r="J141" s="16" t="n"/>
      <c r="K141" s="16" t="n"/>
      <c r="L141" s="16" t="n"/>
      <c r="M141" s="17">
        <f>_xlfn.XLOOKUP(A141,'작업관리'!B:B,'작업관리'!E:E,"")</f>
        <v/>
      </c>
      <c r="N141" s="17">
        <f>_xlfn.XLOOKUP(A141,'작업관리'!B:B,'작업관리'!F:F,"")</f>
        <v/>
      </c>
      <c r="O141" s="17">
        <f>_xlfn.XLOOKUP(A141,'작업관리'!B:B,'작업관리'!G:G,"")</f>
        <v/>
      </c>
      <c r="P141" s="18" t="n">
        <v>46387</v>
      </c>
      <c r="Q141" s="17">
        <f>IF(N141="완료","완료",IF(N141="보류","보류",IF(N141="진행 중",IF(P141&lt;TODAY(),"딜레이","진행중"),IF(P141&lt;TODAY(),"딜레이",IF(TODAY()&gt;=DATE(YEAR(P141),MONTH(P141)-2,1),"임박","예정")))))</f>
        <v/>
      </c>
      <c r="R141" s="19">
        <f>IF(OR(N141="완료",N141="보류"),"-",IF(P141&lt;TODAY(),TODAY()-P141,""))</f>
        <v/>
      </c>
    </row>
    <row r="142" ht="18" customHeight="1">
      <c r="A142" s="14" t="inlineStr">
        <is>
          <t>게임 씬 화면 배율 정수화 (PixelScale SoT · Run/Lobby/Title ortho 5.625)</t>
        </is>
      </c>
      <c r="B142" s="16" t="n"/>
      <c r="C142" s="16" t="n"/>
      <c r="D142" s="21" t="inlineStr">
        <is>
          <t>✓</t>
        </is>
      </c>
      <c r="E142" s="16" t="n"/>
      <c r="F142" s="16" t="n"/>
      <c r="G142" s="16" t="n"/>
      <c r="H142" s="16" t="n"/>
      <c r="I142" s="16" t="n"/>
      <c r="J142" s="16" t="n"/>
      <c r="K142" s="16" t="n"/>
      <c r="L142" s="16" t="n"/>
      <c r="M142" s="17">
        <f>_xlfn.XLOOKUP(A142,'작업관리'!B:B,'작업관리'!E:E,"")</f>
        <v/>
      </c>
      <c r="N142" s="17">
        <f>_xlfn.XLOOKUP(A142,'작업관리'!B:B,'작업관리'!F:F,"")</f>
        <v/>
      </c>
      <c r="O142" s="17">
        <f>_xlfn.XLOOKUP(A142,'작업관리'!B:B,'작업관리'!G:G,"")</f>
        <v/>
      </c>
      <c r="P142" s="18" t="n">
        <v>46387</v>
      </c>
      <c r="Q142" s="17">
        <f>IF(N142="완료","완료",IF(N142="보류","보류",IF(N142="진행 중",IF(P142&lt;TODAY(),"딜레이","진행중"),IF(P142&lt;TODAY(),"딜레이",IF(TODAY()&gt;=DATE(YEAR(P142),MONTH(P142)-2,1),"임박","예정")))))</f>
        <v/>
      </c>
      <c r="R142" s="19">
        <f>IF(OR(N142="완료",N142="보류"),"-",IF(P142&lt;TODAY(),TODAY()-P142,""))</f>
        <v/>
      </c>
    </row>
    <row r="143" ht="18" customHeight="1">
      <c r="A143" s="14" t="inlineStr">
        <is>
          <t>애니메이션 상태 SoT + 폴백 사슬 (PlayerAnimationIds)</t>
        </is>
      </c>
      <c r="B143" s="16" t="n"/>
      <c r="C143" s="16" t="n"/>
      <c r="D143" s="21" t="inlineStr">
        <is>
          <t>✓</t>
        </is>
      </c>
      <c r="E143" s="16" t="n"/>
      <c r="F143" s="16" t="n"/>
      <c r="G143" s="16" t="n"/>
      <c r="H143" s="16" t="n"/>
      <c r="I143" s="16" t="n"/>
      <c r="J143" s="16" t="n"/>
      <c r="K143" s="16" t="n"/>
      <c r="L143" s="16" t="n"/>
      <c r="M143" s="17">
        <f>_xlfn.XLOOKUP(A143,'작업관리'!B:B,'작업관리'!E:E,"")</f>
        <v/>
      </c>
      <c r="N143" s="17">
        <f>_xlfn.XLOOKUP(A143,'작업관리'!B:B,'작업관리'!F:F,"")</f>
        <v/>
      </c>
      <c r="O143" s="17">
        <f>_xlfn.XLOOKUP(A143,'작업관리'!B:B,'작업관리'!G:G,"")</f>
        <v/>
      </c>
      <c r="P143" s="18" t="n">
        <v>46387</v>
      </c>
      <c r="Q143" s="17">
        <f>IF(N143="완료","완료",IF(N143="보류","보류",IF(N143="진행 중",IF(P143&lt;TODAY(),"딜레이","진행중"),IF(P143&lt;TODAY(),"딜레이",IF(TODAY()&gt;=DATE(YEAR(P143),MONTH(P143)-2,1),"임박","예정")))))</f>
        <v/>
      </c>
      <c r="R143" s="19">
        <f>IF(OR(N143="완료",N143="보류"),"-",IF(P143&lt;TODAY(),TODAY()-P143,""))</f>
        <v/>
      </c>
    </row>
    <row r="144" ht="18" customHeight="1">
      <c r="A144" s="14" t="inlineStr">
        <is>
          <t>애니메이션 재생 층 (Anim_Core · 평평한 Animator · 폼 오버라이드)</t>
        </is>
      </c>
      <c r="B144" s="16" t="n"/>
      <c r="C144" s="16" t="n"/>
      <c r="D144" s="21" t="inlineStr">
        <is>
          <t>✓</t>
        </is>
      </c>
      <c r="E144" s="16" t="n"/>
      <c r="F144" s="16" t="n"/>
      <c r="G144" s="16" t="n"/>
      <c r="H144" s="16" t="n"/>
      <c r="I144" s="16" t="n"/>
      <c r="J144" s="16" t="n"/>
      <c r="K144" s="16" t="n"/>
      <c r="L144" s="16" t="n"/>
      <c r="M144" s="17">
        <f>_xlfn.XLOOKUP(A144,'작업관리'!B:B,'작업관리'!E:E,"")</f>
        <v/>
      </c>
      <c r="N144" s="17">
        <f>_xlfn.XLOOKUP(A144,'작업관리'!B:B,'작업관리'!F:F,"")</f>
        <v/>
      </c>
      <c r="O144" s="17">
        <f>_xlfn.XLOOKUP(A144,'작업관리'!B:B,'작업관리'!G:G,"")</f>
        <v/>
      </c>
      <c r="P144" s="18" t="n">
        <v>46387</v>
      </c>
      <c r="Q144" s="17">
        <f>IF(N144="완료","완료",IF(N144="보류","보류",IF(N144="진행 중",IF(P144&lt;TODAY(),"딜레이","진행중"),IF(P144&lt;TODAY(),"딜레이",IF(TODAY()&gt;=DATE(YEAR(P144),MONTH(P144)-2,1),"임박","예정")))))</f>
        <v/>
      </c>
      <c r="R144" s="19">
        <f>IF(OR(N144="완료",N144="보류"),"-",IF(P144&lt;TODAY(),TODAY()-P144,""))</f>
        <v/>
      </c>
    </row>
    <row r="145" ht="18" customHeight="1">
      <c r="A145" s="14" t="inlineStr">
        <is>
          <t>클립·컨트롤러 생성 메뉴 (시트 -&gt; 클립/오버라이드)</t>
        </is>
      </c>
      <c r="B145" s="16" t="n"/>
      <c r="C145" s="16" t="n"/>
      <c r="D145" s="21" t="inlineStr">
        <is>
          <t>✓</t>
        </is>
      </c>
      <c r="E145" s="16" t="n"/>
      <c r="F145" s="16" t="n"/>
      <c r="G145" s="16" t="n"/>
      <c r="H145" s="16" t="n"/>
      <c r="I145" s="16" t="n"/>
      <c r="J145" s="16" t="n"/>
      <c r="K145" s="16" t="n"/>
      <c r="L145" s="16" t="n"/>
      <c r="M145" s="17">
        <f>_xlfn.XLOOKUP(A145,'작업관리'!B:B,'작업관리'!E:E,"")</f>
        <v/>
      </c>
      <c r="N145" s="17">
        <f>_xlfn.XLOOKUP(A145,'작업관리'!B:B,'작업관리'!F:F,"")</f>
        <v/>
      </c>
      <c r="O145" s="17">
        <f>_xlfn.XLOOKUP(A145,'작업관리'!B:B,'작업관리'!G:G,"")</f>
        <v/>
      </c>
      <c r="P145" s="18" t="n">
        <v>46387</v>
      </c>
      <c r="Q145" s="17">
        <f>IF(N145="완료","완료",IF(N145="보류","보류",IF(N145="진행 중",IF(P145&lt;TODAY(),"딜레이","진행중"),IF(P145&lt;TODAY(),"딜레이",IF(TODAY()&gt;=DATE(YEAR(P145),MONTH(P145)-2,1),"임박","예정")))))</f>
        <v/>
      </c>
      <c r="R145" s="19">
        <f>IF(OR(N145="완료",N145="보류"),"-",IF(P145&lt;TODAY(),TODAY()-P145,""))</f>
        <v/>
      </c>
    </row>
    <row r="146" ht="18" customHeight="1">
      <c r="A146" s="14" t="inlineStr">
        <is>
          <t>KnightRed 4상태 클립 (Idle/Run/공격 2종)</t>
        </is>
      </c>
      <c r="B146" s="16" t="n"/>
      <c r="C146" s="16" t="n"/>
      <c r="D146" s="21" t="inlineStr">
        <is>
          <t>✓</t>
        </is>
      </c>
      <c r="E146" s="16" t="n"/>
      <c r="F146" s="16" t="n"/>
      <c r="G146" s="16" t="n"/>
      <c r="H146" s="16" t="n"/>
      <c r="I146" s="16" t="n"/>
      <c r="J146" s="16" t="n"/>
      <c r="K146" s="16" t="n"/>
      <c r="L146" s="16" t="n"/>
      <c r="M146" s="17">
        <f>_xlfn.XLOOKUP(A146,'작업관리'!B:B,'작업관리'!E:E,"")</f>
        <v/>
      </c>
      <c r="N146" s="17">
        <f>_xlfn.XLOOKUP(A146,'작업관리'!B:B,'작업관리'!F:F,"")</f>
        <v/>
      </c>
      <c r="O146" s="17">
        <f>_xlfn.XLOOKUP(A146,'작업관리'!B:B,'작업관리'!G:G,"")</f>
        <v/>
      </c>
      <c r="P146" s="18" t="n">
        <v>46387</v>
      </c>
      <c r="Q146" s="17">
        <f>IF(N146="완료","완료",IF(N146="보류","보류",IF(N146="진행 중",IF(P146&lt;TODAY(),"딜레이","진행중"),IF(P146&lt;TODAY(),"딜레이",IF(TODAY()&gt;=DATE(YEAR(P146),MONTH(P146)-2,1),"임박","예정")))))</f>
        <v/>
      </c>
      <c r="R146" s="19">
        <f>IF(OR(N146="완료",N146="보류"),"-",IF(P146&lt;TODAY(),TODAY()-P146,""))</f>
        <v/>
      </c>
    </row>
    <row r="147" ht="18" customHeight="1">
      <c r="A147" s="14" t="inlineStr">
        <is>
          <t>캐릭터 시트 칸 단위 재슬라이스 (Bug-039 · PPU32·발밑 피벗 확정)</t>
        </is>
      </c>
      <c r="B147" s="16" t="n"/>
      <c r="C147" s="16" t="n"/>
      <c r="D147" s="21" t="inlineStr">
        <is>
          <t>✓</t>
        </is>
      </c>
      <c r="E147" s="16" t="n"/>
      <c r="F147" s="16" t="n"/>
      <c r="G147" s="16" t="n"/>
      <c r="H147" s="16" t="n"/>
      <c r="I147" s="16" t="n"/>
      <c r="J147" s="16" t="n"/>
      <c r="K147" s="16" t="n"/>
      <c r="L147" s="16" t="n"/>
      <c r="M147" s="17">
        <f>_xlfn.XLOOKUP(A147,'작업관리'!B:B,'작업관리'!E:E,"")</f>
        <v/>
      </c>
      <c r="N147" s="17">
        <f>_xlfn.XLOOKUP(A147,'작업관리'!B:B,'작업관리'!F:F,"")</f>
        <v/>
      </c>
      <c r="O147" s="17">
        <f>_xlfn.XLOOKUP(A147,'작업관리'!B:B,'작업관리'!G:G,"")</f>
        <v/>
      </c>
      <c r="P147" s="18" t="n">
        <v>46387</v>
      </c>
      <c r="Q147" s="17">
        <f>IF(N147="완료","완료",IF(N147="보류","보류",IF(N147="진행 중",IF(P147&lt;TODAY(),"딜레이","진행중"),IF(P147&lt;TODAY(),"딜레이",IF(TODAY()&gt;=DATE(YEAR(P147),MONTH(P147)-2,1),"임박","예정")))))</f>
        <v/>
      </c>
      <c r="R147" s="19">
        <f>IF(OR(N147="완료",N147="보류"),"-",IF(P147&lt;TODAY(),TODAY()-P147,""))</f>
        <v/>
      </c>
    </row>
    <row r="148" ht="18" customHeight="1">
      <c r="A148" s="14" t="inlineStr">
        <is>
          <t>KnightRed 9상태 클립 완성 (Hit·Jump·Fall·Dash·Dead · No Weapon 몸)</t>
        </is>
      </c>
      <c r="B148" s="16" t="n"/>
      <c r="C148" s="16" t="n"/>
      <c r="D148" s="21" t="inlineStr">
        <is>
          <t>✓</t>
        </is>
      </c>
      <c r="E148" s="16" t="n"/>
      <c r="F148" s="16" t="n"/>
      <c r="G148" s="16" t="n"/>
      <c r="H148" s="16" t="n"/>
      <c r="I148" s="16" t="n"/>
      <c r="J148" s="16" t="n"/>
      <c r="K148" s="16" t="n"/>
      <c r="L148" s="16" t="n"/>
      <c r="M148" s="17">
        <f>_xlfn.XLOOKUP(A148,'작업관리'!B:B,'작업관리'!E:E,"")</f>
        <v/>
      </c>
      <c r="N148" s="17">
        <f>_xlfn.XLOOKUP(A148,'작업관리'!B:B,'작업관리'!F:F,"")</f>
        <v/>
      </c>
      <c r="O148" s="17">
        <f>_xlfn.XLOOKUP(A148,'작업관리'!B:B,'작업관리'!G:G,"")</f>
        <v/>
      </c>
      <c r="P148" s="18" t="n">
        <v>46387</v>
      </c>
      <c r="Q148" s="17">
        <f>IF(N148="완료","완료",IF(N148="보류","보류",IF(N148="진행 중",IF(P148&lt;TODAY(),"딜레이","진행중"),IF(P148&lt;TODAY(),"딜레이",IF(TODAY()&gt;=DATE(YEAR(P148),MONTH(P148)-2,1),"임박","예정")))))</f>
        <v/>
      </c>
      <c r="R148" s="19">
        <f>IF(OR(N148="완료",N148="보류"),"-",IF(P148&lt;TODAY(),TODAY()-P148,""))</f>
        <v/>
      </c>
    </row>
    <row r="149" ht="18" customHeight="1">
      <c r="A149" s="14" t="inlineStr">
        <is>
          <t>플레이어 FSM 결손 2건 (Hit 지속시간 Bug-040 · Dash 탈출 Bug-041)</t>
        </is>
      </c>
      <c r="B149" s="16" t="n"/>
      <c r="C149" s="16" t="n"/>
      <c r="D149" s="21" t="inlineStr">
        <is>
          <t>✓</t>
        </is>
      </c>
      <c r="E149" s="16" t="n"/>
      <c r="F149" s="16" t="n"/>
      <c r="G149" s="16" t="n"/>
      <c r="H149" s="16" t="n"/>
      <c r="I149" s="16" t="n"/>
      <c r="J149" s="16" t="n"/>
      <c r="K149" s="16" t="n"/>
      <c r="L149" s="16" t="n"/>
      <c r="M149" s="17">
        <f>_xlfn.XLOOKUP(A149,'작업관리'!B:B,'작업관리'!E:E,"")</f>
        <v/>
      </c>
      <c r="N149" s="17">
        <f>_xlfn.XLOOKUP(A149,'작업관리'!B:B,'작업관리'!F:F,"")</f>
        <v/>
      </c>
      <c r="O149" s="17">
        <f>_xlfn.XLOOKUP(A149,'작업관리'!B:B,'작업관리'!G:G,"")</f>
        <v/>
      </c>
      <c r="P149" s="18" t="n">
        <v>46387</v>
      </c>
      <c r="Q149" s="17">
        <f>IF(N149="완료","완료",IF(N149="보류","보류",IF(N149="진행 중",IF(P149&lt;TODAY(),"딜레이","진행중"),IF(P149&lt;TODAY(),"딜레이",IF(TODAY()&gt;=DATE(YEAR(P149),MONTH(P149)-2,1),"임박","예정")))))</f>
        <v/>
      </c>
      <c r="R149" s="19">
        <f>IF(OR(N149="완료",N149="보류"),"-",IF(P149&lt;TODAY(),TODAY()-P149,""))</f>
        <v/>
      </c>
    </row>
    <row r="150" ht="18" customHeight="1">
      <c r="A150" s="14" t="inlineStr">
        <is>
          <t>KnightRed 기존 4클립 No Weapon 재생성 (무기 분리 정합 · 9상태 몸 통일)</t>
        </is>
      </c>
      <c r="B150" s="16" t="n"/>
      <c r="C150" s="16" t="n"/>
      <c r="D150" s="21" t="inlineStr">
        <is>
          <t>✓</t>
        </is>
      </c>
      <c r="E150" s="16" t="n"/>
      <c r="F150" s="16" t="n"/>
      <c r="G150" s="16" t="n"/>
      <c r="H150" s="16" t="n"/>
      <c r="I150" s="16" t="n"/>
      <c r="J150" s="16" t="n"/>
      <c r="K150" s="16" t="n"/>
      <c r="L150" s="16" t="n"/>
      <c r="M150" s="17">
        <f>_xlfn.XLOOKUP(A150,'작업관리'!B:B,'작업관리'!E:E,"")</f>
        <v/>
      </c>
      <c r="N150" s="17">
        <f>_xlfn.XLOOKUP(A150,'작업관리'!B:B,'작업관리'!F:F,"")</f>
        <v/>
      </c>
      <c r="O150" s="17">
        <f>_xlfn.XLOOKUP(A150,'작업관리'!B:B,'작업관리'!G:G,"")</f>
        <v/>
      </c>
      <c r="P150" s="18" t="n">
        <v>46387</v>
      </c>
      <c r="Q150" s="17">
        <f>IF(N150="완료","완료",IF(N150="보류","보류",IF(N150="진행 중",IF(P150&lt;TODAY(),"딜레이","진행중"),IF(P150&lt;TODAY(),"딜레이",IF(TODAY()&gt;=DATE(YEAR(P150),MONTH(P150)-2,1),"임박","예정")))))</f>
        <v/>
      </c>
      <c r="R150" s="19">
        <f>IF(OR(N150="완료",N150="보류"),"-",IF(P150&lt;TODAY(),TODAY()-P150,""))</f>
        <v/>
      </c>
    </row>
    <row r="151" ht="18" customHeight="1">
      <c r="A151" s="14" t="inlineStr">
        <is>
          <t>무기 장비 시스템 기획 (런 스코프·폼 전용·7등급·중복=강화·3창구)</t>
        </is>
      </c>
      <c r="B151" s="16" t="n"/>
      <c r="C151" s="16" t="n"/>
      <c r="D151" s="21" t="inlineStr">
        <is>
          <t>✓</t>
        </is>
      </c>
      <c r="E151" s="16" t="n"/>
      <c r="F151" s="16" t="n"/>
      <c r="G151" s="16" t="n"/>
      <c r="H151" s="16" t="n"/>
      <c r="I151" s="16" t="n"/>
      <c r="J151" s="16" t="n"/>
      <c r="K151" s="16" t="n"/>
      <c r="L151" s="16" t="n"/>
      <c r="M151" s="17">
        <f>_xlfn.XLOOKUP(A151,'작업관리'!B:B,'작업관리'!E:E,"")</f>
        <v/>
      </c>
      <c r="N151" s="17">
        <f>_xlfn.XLOOKUP(A151,'작업관리'!B:B,'작업관리'!F:F,"")</f>
        <v/>
      </c>
      <c r="O151" s="17">
        <f>_xlfn.XLOOKUP(A151,'작업관리'!B:B,'작업관리'!G:G,"")</f>
        <v/>
      </c>
      <c r="P151" s="18" t="n">
        <v>46387</v>
      </c>
      <c r="Q151" s="17">
        <f>IF(N151="완료","완료",IF(N151="보류","보류",IF(N151="진행 중",IF(P151&lt;TODAY(),"딜레이","진행중"),IF(P151&lt;TODAY(),"딜레이",IF(TODAY()&gt;=DATE(YEAR(P151),MONTH(P151)-2,1),"임박","예정")))))</f>
        <v/>
      </c>
      <c r="R151" s="19">
        <f>IF(OR(N151="완료",N151="보류"),"-",IF(P151&lt;TODAY(),TODAY()-P151,""))</f>
        <v/>
      </c>
    </row>
    <row r="152" ht="18" customHeight="1">
      <c r="A152" s="14" t="inlineStr">
        <is>
          <t>손 앵커 + 자루 기준점 규약 (돌출부 검출 gen 0 · blade/center)</t>
        </is>
      </c>
      <c r="B152" s="16" t="n"/>
      <c r="C152" s="16" t="n"/>
      <c r="D152" s="21" t="inlineStr">
        <is>
          <t>✓</t>
        </is>
      </c>
      <c r="E152" s="16" t="n"/>
      <c r="F152" s="16" t="n"/>
      <c r="G152" s="16" t="n"/>
      <c r="H152" s="16" t="n"/>
      <c r="I152" s="16" t="n"/>
      <c r="J152" s="16" t="n"/>
      <c r="K152" s="16" t="n"/>
      <c r="L152" s="16" t="n"/>
      <c r="M152" s="17">
        <f>_xlfn.XLOOKUP(A152,'작업관리'!B:B,'작업관리'!E:E,"")</f>
        <v/>
      </c>
      <c r="N152" s="17">
        <f>_xlfn.XLOOKUP(A152,'작업관리'!B:B,'작업관리'!F:F,"")</f>
        <v/>
      </c>
      <c r="O152" s="17">
        <f>_xlfn.XLOOKUP(A152,'작업관리'!B:B,'작업관리'!G:G,"")</f>
        <v/>
      </c>
      <c r="P152" s="18" t="n">
        <v>46387</v>
      </c>
      <c r="Q152" s="17">
        <f>IF(N152="완료","완료",IF(N152="보류","보류",IF(N152="진행 중",IF(P152&lt;TODAY(),"딜레이","진행중"),IF(P152&lt;TODAY(),"딜레이",IF(TODAY()&gt;=DATE(YEAR(P152),MONTH(P152)-2,1),"임박","예정")))))</f>
        <v/>
      </c>
      <c r="R152" s="19">
        <f>IF(OR(N152="완료",N152="보류"),"-",IF(P152&lt;TODAY(),TODAY()-P152,""))</f>
        <v/>
      </c>
    </row>
    <row r="153" ht="18" customHeight="1">
      <c r="A153" s="14" t="inlineStr">
        <is>
          <t>무기 소켓 + 앵커 SO·임포터 (프레임별 배치 · 각도는 값으로)</t>
        </is>
      </c>
      <c r="B153" s="16" t="n"/>
      <c r="C153" s="16" t="n"/>
      <c r="D153" s="21" t="inlineStr">
        <is>
          <t>✓</t>
        </is>
      </c>
      <c r="E153" s="16" t="n"/>
      <c r="F153" s="16" t="n"/>
      <c r="G153" s="16" t="n"/>
      <c r="H153" s="16" t="n"/>
      <c r="I153" s="16" t="n"/>
      <c r="J153" s="16" t="n"/>
      <c r="K153" s="16" t="n"/>
      <c r="L153" s="16" t="n"/>
      <c r="M153" s="17">
        <f>_xlfn.XLOOKUP(A153,'작업관리'!B:B,'작업관리'!E:E,"")</f>
        <v/>
      </c>
      <c r="N153" s="17">
        <f>_xlfn.XLOOKUP(A153,'작업관리'!B:B,'작업관리'!F:F,"")</f>
        <v/>
      </c>
      <c r="O153" s="17">
        <f>_xlfn.XLOOKUP(A153,'작업관리'!B:B,'작업관리'!G:G,"")</f>
        <v/>
      </c>
      <c r="P153" s="18" t="n">
        <v>46387</v>
      </c>
      <c r="Q153" s="17">
        <f>IF(N153="완료","완료",IF(N153="보류","보류",IF(N153="진행 중",IF(P153&lt;TODAY(),"딜레이","진행중"),IF(P153&lt;TODAY(),"딜레이",IF(TODAY()&gt;=DATE(YEAR(P153),MONTH(P153)-2,1),"임박","예정")))))</f>
        <v/>
      </c>
      <c r="R153" s="19">
        <f>IF(OR(N153="완료",N153="보류"),"-",IF(P153&lt;TODAY(),TODAY()-P153,""))</f>
        <v/>
      </c>
    </row>
    <row r="154" ht="18" customHeight="1">
      <c r="A154" s="14" t="inlineStr">
        <is>
          <t>공격 이펙트 크기를 판정 박스에서 파생 (Bug-042 · 헤비가 사거리 부풀림)</t>
        </is>
      </c>
      <c r="B154" s="16" t="n"/>
      <c r="C154" s="16" t="n"/>
      <c r="D154" s="21" t="inlineStr">
        <is>
          <t>✓</t>
        </is>
      </c>
      <c r="E154" s="16" t="n"/>
      <c r="F154" s="16" t="n"/>
      <c r="G154" s="16" t="n"/>
      <c r="H154" s="16" t="n"/>
      <c r="I154" s="16" t="n"/>
      <c r="J154" s="16" t="n"/>
      <c r="K154" s="16" t="n"/>
      <c r="L154" s="16" t="n"/>
      <c r="M154" s="17">
        <f>_xlfn.XLOOKUP(A154,'작업관리'!B:B,'작업관리'!E:E,"")</f>
        <v/>
      </c>
      <c r="N154" s="17">
        <f>_xlfn.XLOOKUP(A154,'작업관리'!B:B,'작업관리'!F:F,"")</f>
        <v/>
      </c>
      <c r="O154" s="17">
        <f>_xlfn.XLOOKUP(A154,'작업관리'!B:B,'작업관리'!G:G,"")</f>
        <v/>
      </c>
      <c r="P154" s="18" t="n">
        <v>46387</v>
      </c>
      <c r="Q154" s="17">
        <f>IF(N154="완료","완료",IF(N154="보류","보류",IF(N154="진행 중",IF(P154&lt;TODAY(),"딜레이","진행중"),IF(P154&lt;TODAY(),"딜레이",IF(TODAY()&gt;=DATE(YEAR(P154),MONTH(P154)-2,1),"임박","예정")))))</f>
        <v/>
      </c>
      <c r="R154" s="19">
        <f>IF(OR(N154="완료",N154="보류"),"-",IF(P154&lt;TODAY(),TODAY()-P154,""))</f>
        <v/>
      </c>
    </row>
    <row r="155" ht="18" customHeight="1">
      <c r="A155" s="14" t="inlineStr">
        <is>
          <t>캐릭터 방향 east -&gt; south-east 전환 (9상태 재생성 · 손 앵커 키 48%-&gt;80%)</t>
        </is>
      </c>
      <c r="B155" s="16" t="n"/>
      <c r="C155" s="16" t="n"/>
      <c r="D155" s="21" t="inlineStr">
        <is>
          <t>✓</t>
        </is>
      </c>
      <c r="E155" s="16" t="n"/>
      <c r="F155" s="16" t="n"/>
      <c r="G155" s="16" t="n"/>
      <c r="H155" s="16" t="n"/>
      <c r="I155" s="16" t="n"/>
      <c r="J155" s="16" t="n"/>
      <c r="K155" s="16" t="n"/>
      <c r="L155" s="16" t="n"/>
      <c r="M155" s="17">
        <f>_xlfn.XLOOKUP(A155,'작업관리'!B:B,'작업관리'!E:E,"")</f>
        <v/>
      </c>
      <c r="N155" s="17">
        <f>_xlfn.XLOOKUP(A155,'작업관리'!B:B,'작업관리'!F:F,"")</f>
        <v/>
      </c>
      <c r="O155" s="17">
        <f>_xlfn.XLOOKUP(A155,'작업관리'!B:B,'작업관리'!G:G,"")</f>
        <v/>
      </c>
      <c r="P155" s="18" t="n">
        <v>46387</v>
      </c>
      <c r="Q155" s="17">
        <f>IF(N155="완료","완료",IF(N155="보류","보류",IF(N155="진행 중",IF(P155&lt;TODAY(),"딜레이","진행중"),IF(P155&lt;TODAY(),"딜레이",IF(TODAY()&gt;=DATE(YEAR(P155),MONTH(P155)-2,1),"임박","예정")))))</f>
        <v/>
      </c>
      <c r="R155" s="19">
        <f>IF(OR(N155="완료",N155="보류"),"-",IF(P155&lt;TODAY(),TODAY()-P155,""))</f>
        <v/>
      </c>
    </row>
    <row r="156" ht="18" customHeight="1">
      <c r="A156" s="14" t="inlineStr">
        <is>
          <t>무기 각도 사전 회전 24각도 (RotSprite 계열 · gen 0 · 피벗 공유)</t>
        </is>
      </c>
      <c r="B156" s="16" t="n"/>
      <c r="C156" s="16" t="n"/>
      <c r="D156" s="21" t="inlineStr">
        <is>
          <t>✓</t>
        </is>
      </c>
      <c r="E156" s="16" t="n"/>
      <c r="F156" s="16" t="n"/>
      <c r="G156" s="16" t="n"/>
      <c r="H156" s="16" t="n"/>
      <c r="I156" s="16" t="n"/>
      <c r="J156" s="16" t="n"/>
      <c r="K156" s="16" t="n"/>
      <c r="L156" s="16" t="n"/>
      <c r="M156" s="17">
        <f>_xlfn.XLOOKUP(A156,'작업관리'!B:B,'작업관리'!E:E,"")</f>
        <v/>
      </c>
      <c r="N156" s="17">
        <f>_xlfn.XLOOKUP(A156,'작업관리'!B:B,'작업관리'!F:F,"")</f>
        <v/>
      </c>
      <c r="O156" s="17">
        <f>_xlfn.XLOOKUP(A156,'작업관리'!B:B,'작업관리'!G:G,"")</f>
        <v/>
      </c>
      <c r="P156" s="18" t="n">
        <v>46387</v>
      </c>
      <c r="Q156" s="17">
        <f>IF(N156="완료","완료",IF(N156="보류","보류",IF(N156="진행 중",IF(P156&lt;TODAY(),"딜레이","진행중"),IF(P156&lt;TODAY(),"딜레이",IF(TODAY()&gt;=DATE(YEAR(P156),MONTH(P156)-2,1),"임박","예정")))))</f>
        <v/>
      </c>
      <c r="R156" s="19">
        <f>IF(OR(N156="완료",N156="보류"),"-",IF(P156&lt;TODAY(),TODAY()-P156,""))</f>
        <v/>
      </c>
    </row>
    <row r="157" ht="18" customHeight="1">
      <c r="A157" s="14" t="inlineStr">
        <is>
          <t>무기 4종 각도 스트립 + 방패 bracedUpright (칸 70/44/40/50px · gen 0)</t>
        </is>
      </c>
      <c r="B157" s="16" t="n"/>
      <c r="C157" s="16" t="n"/>
      <c r="D157" s="21" t="inlineStr">
        <is>
          <t>✓</t>
        </is>
      </c>
      <c r="E157" s="16" t="n"/>
      <c r="F157" s="16" t="n"/>
      <c r="G157" s="16" t="n"/>
      <c r="H157" s="16" t="n"/>
      <c r="I157" s="16" t="n"/>
      <c r="J157" s="16" t="n"/>
      <c r="K157" s="16" t="n"/>
      <c r="L157" s="16" t="n"/>
      <c r="M157" s="17">
        <f>_xlfn.XLOOKUP(A157,'작업관리'!B:B,'작업관리'!E:E,"")</f>
        <v/>
      </c>
      <c r="N157" s="17">
        <f>_xlfn.XLOOKUP(A157,'작업관리'!B:B,'작업관리'!F:F,"")</f>
        <v/>
      </c>
      <c r="O157" s="17">
        <f>_xlfn.XLOOKUP(A157,'작업관리'!B:B,'작업관리'!G:G,"")</f>
        <v/>
      </c>
      <c r="P157" s="18" t="n">
        <v>46387</v>
      </c>
      <c r="Q157" s="17">
        <f>IF(N157="완료","완료",IF(N157="보류","보류",IF(N157="진행 중",IF(P157&lt;TODAY(),"딜레이","진행중"),IF(P157&lt;TODAY(),"딜레이",IF(TODAY()&gt;=DATE(YEAR(P157),MONTH(P157)-2,1),"임박","예정")))))</f>
        <v/>
      </c>
      <c r="R157" s="19">
        <f>IF(OR(N157="완료",N157="보류"),"-",IF(P157&lt;TODAY(),TODAY()-P157,""))</f>
        <v/>
      </c>
    </row>
    <row r="158" ht="18" customHeight="1">
      <c r="A158" s="14" t="inlineStr">
        <is>
          <t>무기 장비 시스템 기반 (WeaponData·카탈로그·등급 정규화 추첨·폼별 기본 무기)</t>
        </is>
      </c>
      <c r="B158" s="16" t="n"/>
      <c r="C158" s="16" t="n"/>
      <c r="D158" s="21" t="inlineStr">
        <is>
          <t>✓</t>
        </is>
      </c>
      <c r="E158" s="16" t="n"/>
      <c r="F158" s="16" t="n"/>
      <c r="G158" s="16" t="n"/>
      <c r="H158" s="16" t="n"/>
      <c r="I158" s="16" t="n"/>
      <c r="J158" s="16" t="n"/>
      <c r="K158" s="16" t="n"/>
      <c r="L158" s="16" t="n"/>
      <c r="M158" s="17">
        <f>_xlfn.XLOOKUP(A158,'작업관리'!B:B,'작업관리'!E:E,"")</f>
        <v/>
      </c>
      <c r="N158" s="17">
        <f>_xlfn.XLOOKUP(A158,'작업관리'!B:B,'작업관리'!F:F,"")</f>
        <v/>
      </c>
      <c r="O158" s="17">
        <f>_xlfn.XLOOKUP(A158,'작업관리'!B:B,'작업관리'!G:G,"")</f>
        <v/>
      </c>
      <c r="P158" s="18" t="n">
        <v>46387</v>
      </c>
      <c r="Q158" s="17">
        <f>IF(N158="완료","완료",IF(N158="보류","보류",IF(N158="진행 중",IF(P158&lt;TODAY(),"딜레이","진행중"),IF(P158&lt;TODAY(),"딜레이",IF(TODAY()&gt;=DATE(YEAR(P158),MONTH(P158)-2,1),"임박","예정")))))</f>
        <v/>
      </c>
      <c r="R158" s="19">
        <f>IF(OR(N158="완료",N158="보류"),"-",IF(P158&lt;TODAY(),TODAY()-P158,""))</f>
        <v/>
      </c>
    </row>
    <row r="159" ht="18" customHeight="1">
      <c r="A159" s="14" t="inlineStr">
        <is>
          <t>무기 보유 상태 (런 스코프·폼마다 기억·중복=강화 · 배율 잠복 해소)</t>
        </is>
      </c>
      <c r="B159" s="16" t="n"/>
      <c r="C159" s="16" t="n"/>
      <c r="D159" s="21" t="inlineStr">
        <is>
          <t>✓</t>
        </is>
      </c>
      <c r="E159" s="16" t="n"/>
      <c r="F159" s="16" t="n"/>
      <c r="G159" s="16" t="n"/>
      <c r="H159" s="16" t="n"/>
      <c r="I159" s="16" t="n"/>
      <c r="J159" s="16" t="n"/>
      <c r="K159" s="16" t="n"/>
      <c r="L159" s="16" t="n"/>
      <c r="M159" s="17">
        <f>_xlfn.XLOOKUP(A159,'작업관리'!B:B,'작업관리'!E:E,"")</f>
        <v/>
      </c>
      <c r="N159" s="17">
        <f>_xlfn.XLOOKUP(A159,'작업관리'!B:B,'작업관리'!F:F,"")</f>
        <v/>
      </c>
      <c r="O159" s="17">
        <f>_xlfn.XLOOKUP(A159,'작업관리'!B:B,'작업관리'!G:G,"")</f>
        <v/>
      </c>
      <c r="P159" s="18" t="n">
        <v>46387</v>
      </c>
      <c r="Q159" s="17">
        <f>IF(N159="완료","완료",IF(N159="보류","보류",IF(N159="진행 중",IF(P159&lt;TODAY(),"딜레이","진행중"),IF(P159&lt;TODAY(),"딜레이",IF(TODAY()&gt;=DATE(YEAR(P159),MONTH(P159)-2,1),"임박","예정")))))</f>
        <v/>
      </c>
      <c r="R159" s="19">
        <f>IF(OR(N159="완료",N159="보류"),"-",IF(P159&lt;TODAY(),TODAY()-P159,""))</f>
        <v/>
      </c>
    </row>
    <row r="160" ht="18" customHeight="1">
      <c r="A160" s="14" t="inlineStr">
        <is>
          <t>무기 획득 3창구 (보스 제단·상점 좌판·이벤트 가차 · EventEffect 무개조)</t>
        </is>
      </c>
      <c r="B160" s="16" t="n"/>
      <c r="C160" s="16" t="n"/>
      <c r="D160" s="21" t="inlineStr">
        <is>
          <t>✓</t>
        </is>
      </c>
      <c r="E160" s="16" t="n"/>
      <c r="F160" s="16" t="n"/>
      <c r="G160" s="16" t="n"/>
      <c r="H160" s="16" t="n"/>
      <c r="I160" s="16" t="n"/>
      <c r="J160" s="16" t="n"/>
      <c r="K160" s="16" t="n"/>
      <c r="L160" s="16" t="n"/>
      <c r="M160" s="17">
        <f>_xlfn.XLOOKUP(A160,'작업관리'!B:B,'작업관리'!E:E,"")</f>
        <v/>
      </c>
      <c r="N160" s="17">
        <f>_xlfn.XLOOKUP(A160,'작업관리'!B:B,'작업관리'!F:F,"")</f>
        <v/>
      </c>
      <c r="O160" s="17">
        <f>_xlfn.XLOOKUP(A160,'작업관리'!B:B,'작업관리'!G:G,"")</f>
        <v/>
      </c>
      <c r="P160" s="18" t="n">
        <v>46387</v>
      </c>
      <c r="Q160" s="17">
        <f>IF(N160="완료","완료",IF(N160="보류","보류",IF(N160="진행 중",IF(P160&lt;TODAY(),"딜레이","진행중"),IF(P160&lt;TODAY(),"딜레이",IF(TODAY()&gt;=DATE(YEAR(P160),MONTH(P160)-2,1),"임박","예정")))))</f>
        <v/>
      </c>
      <c r="R160" s="19">
        <f>IF(OR(N160="완료",N160="보류"),"-",IF(P160&lt;TODAY(),TODAY()-P160,""))</f>
        <v/>
      </c>
    </row>
    <row r="161" ht="18" customHeight="1">
      <c r="A161" s="14" t="inlineStr">
        <is>
          <t>무기 제단 전용 도트 (돌에 꽂힌 검 · Pillow gen 0 · 폼 제단과 실루엣 분리)</t>
        </is>
      </c>
      <c r="B161" s="16" t="n"/>
      <c r="C161" s="16" t="n"/>
      <c r="D161" s="21" t="inlineStr">
        <is>
          <t>✓</t>
        </is>
      </c>
      <c r="E161" s="16" t="n"/>
      <c r="F161" s="16" t="n"/>
      <c r="G161" s="16" t="n"/>
      <c r="H161" s="16" t="n"/>
      <c r="I161" s="16" t="n"/>
      <c r="J161" s="16" t="n"/>
      <c r="K161" s="16" t="n"/>
      <c r="L161" s="16" t="n"/>
      <c r="M161" s="17">
        <f>_xlfn.XLOOKUP(A161,'작업관리'!B:B,'작업관리'!E:E,"")</f>
        <v/>
      </c>
      <c r="N161" s="17">
        <f>_xlfn.XLOOKUP(A161,'작업관리'!B:B,'작업관리'!F:F,"")</f>
        <v/>
      </c>
      <c r="O161" s="17">
        <f>_xlfn.XLOOKUP(A161,'작업관리'!B:B,'작업관리'!G:G,"")</f>
        <v/>
      </c>
      <c r="P161" s="18" t="n">
        <v>46387</v>
      </c>
      <c r="Q161" s="17">
        <f>IF(N161="완료","완료",IF(N161="보류","보류",IF(N161="진행 중",IF(P161&lt;TODAY(),"딜레이","진행중"),IF(P161&lt;TODAY(),"딜레이",IF(TODAY()&gt;=DATE(YEAR(P161),MONTH(P161)-2,1),"임박","예정")))))</f>
        <v/>
      </c>
      <c r="R161" s="19">
        <f>IF(OR(N161="완료",N161="보류"),"-",IF(P161&lt;TODAY(),TODAY()-P161,""))</f>
        <v/>
      </c>
    </row>
    <row r="162" ht="18" customHeight="1">
      <c r="A162" s="14" t="inlineStr">
        <is>
          <t>무기 첫 보상 빈손 수정 (Bug-043 · 시작 무기도 보유 · Adopt)</t>
        </is>
      </c>
      <c r="B162" s="16" t="n"/>
      <c r="C162" s="16" t="n"/>
      <c r="D162" s="21" t="inlineStr">
        <is>
          <t>✓</t>
        </is>
      </c>
      <c r="E162" s="16" t="n"/>
      <c r="F162" s="16" t="n"/>
      <c r="G162" s="16" t="n"/>
      <c r="H162" s="16" t="n"/>
      <c r="I162" s="16" t="n"/>
      <c r="J162" s="16" t="n"/>
      <c r="K162" s="16" t="n"/>
      <c r="L162" s="16" t="n"/>
      <c r="M162" s="17">
        <f>_xlfn.XLOOKUP(A162,'작업관리'!B:B,'작업관리'!E:E,"")</f>
        <v/>
      </c>
      <c r="N162" s="17">
        <f>_xlfn.XLOOKUP(A162,'작업관리'!B:B,'작업관리'!F:F,"")</f>
        <v/>
      </c>
      <c r="O162" s="17">
        <f>_xlfn.XLOOKUP(A162,'작업관리'!B:B,'작업관리'!G:G,"")</f>
        <v/>
      </c>
      <c r="P162" s="18" t="n">
        <v>46387</v>
      </c>
      <c r="Q162" s="17">
        <f>IF(N162="완료","완료",IF(N162="보류","보류",IF(N162="진행 중",IF(P162&lt;TODAY(),"딜레이","진행중"),IF(P162&lt;TODAY(),"딜레이",IF(TODAY()&gt;=DATE(YEAR(P162),MONTH(P162)-2,1),"임박","예정")))))</f>
        <v/>
      </c>
      <c r="R162" s="19">
        <f>IF(OR(N162="완료",N162="보류"),"-",IF(P162&lt;TODAY(),TODAY()-P162,""))</f>
        <v/>
      </c>
    </row>
    <row r="163" ht="18" customHeight="1">
      <c r="A163" s="14" t="inlineStr">
        <is>
          <t>무기 가격 밸런스 (골드 곡선 측정 완료 · 수치는 희귀 이상 무기 도입 시)</t>
        </is>
      </c>
      <c r="B163" s="16" t="n"/>
      <c r="C163" s="16" t="n"/>
      <c r="D163" s="36" t="n"/>
      <c r="E163" s="22" t="n"/>
      <c r="F163" s="16" t="n"/>
      <c r="G163" s="16" t="n"/>
      <c r="H163" s="16" t="n"/>
      <c r="I163" s="16" t="n"/>
      <c r="J163" s="16" t="n"/>
      <c r="K163" s="16" t="n"/>
      <c r="L163" s="16" t="n"/>
      <c r="M163" s="17">
        <f>_xlfn.XLOOKUP(A163,'작업관리'!B:B,'작업관리'!E:E,"")</f>
        <v/>
      </c>
      <c r="N163" s="17">
        <f>_xlfn.XLOOKUP(A163,'작업관리'!B:B,'작업관리'!F:F,"")</f>
        <v/>
      </c>
      <c r="O163" s="17">
        <f>_xlfn.XLOOKUP(A163,'작업관리'!B:B,'작업관리'!G:G,"")</f>
        <v/>
      </c>
      <c r="P163" s="18" t="n">
        <v>46477</v>
      </c>
      <c r="Q163" s="17">
        <f>IF(N163="완료","완료",IF(N163="보류","보류",IF(N163="진행 중",IF(P163&lt;TODAY(),"딜레이","진행중"),IF(P163&lt;TODAY(),"딜레이",IF(TODAY()&gt;=DATE(YEAR(P163),MONTH(P163)-2,1),"임박","예정")))))</f>
        <v/>
      </c>
      <c r="R163" s="19">
        <f>IF(OR(N163="완료",N163="보류"),"-",IF(P163&lt;TODAY(),TODAY()-P163,""))</f>
        <v/>
      </c>
    </row>
    <row r="164" ht="18" customHeight="1">
      <c r="A164" s="14" t="inlineStr">
        <is>
          <t>무기 각도별 프레임 제작 (단축이 필요해지면)</t>
        </is>
      </c>
      <c r="B164" s="16" t="n"/>
      <c r="C164" s="16" t="n"/>
      <c r="D164" s="16" t="n"/>
      <c r="E164" s="22" t="n"/>
      <c r="F164" s="16" t="n"/>
      <c r="G164" s="16" t="n"/>
      <c r="H164" s="16" t="n"/>
      <c r="I164" s="16" t="n"/>
      <c r="J164" s="16" t="n"/>
      <c r="K164" s="16" t="n"/>
      <c r="L164" s="16" t="n"/>
      <c r="M164" s="17">
        <f>_xlfn.XLOOKUP(A164,'작업관리'!B:B,'작업관리'!E:E,"")</f>
        <v/>
      </c>
      <c r="N164" s="17">
        <f>_xlfn.XLOOKUP(A164,'작업관리'!B:B,'작업관리'!F:F,"")</f>
        <v/>
      </c>
      <c r="O164" s="17">
        <f>_xlfn.XLOOKUP(A164,'작업관리'!B:B,'작업관리'!G:G,"")</f>
        <v/>
      </c>
      <c r="P164" s="18" t="n">
        <v>46477</v>
      </c>
      <c r="Q164" s="17">
        <f>IF(N164="완료","완료",IF(N164="보류","보류",IF(N164="진행 중",IF(P164&lt;TODAY(),"딜레이","진행중"),IF(P164&lt;TODAY(),"딜레이",IF(TODAY()&gt;=DATE(YEAR(P164),MONTH(P164)-2,1),"임박","예정")))))</f>
        <v/>
      </c>
      <c r="R164" s="19">
        <f>IF(OR(N164="완료",N164="보류"),"-",IF(P164&lt;TODAY(),TODAY()-P164,""))</f>
        <v/>
      </c>
    </row>
    <row r="165" ht="18" customHeight="1">
      <c r="A165" s="14" t="inlineStr">
        <is>
          <t>점프 정점·착지 전환 + 대시 잔상 이펙트</t>
        </is>
      </c>
      <c r="B165" s="16" t="n"/>
      <c r="C165" s="16" t="n"/>
      <c r="D165" s="16" t="n"/>
      <c r="E165" s="22" t="n"/>
      <c r="F165" s="16" t="n"/>
      <c r="G165" s="16" t="n"/>
      <c r="H165" s="16" t="n"/>
      <c r="I165" s="16" t="n"/>
      <c r="J165" s="16" t="n"/>
      <c r="K165" s="16" t="n"/>
      <c r="L165" s="16" t="n"/>
      <c r="M165" s="17">
        <f>_xlfn.XLOOKUP(A165,'작업관리'!B:B,'작업관리'!E:E,"")</f>
        <v/>
      </c>
      <c r="N165" s="17">
        <f>_xlfn.XLOOKUP(A165,'작업관리'!B:B,'작업관리'!F:F,"")</f>
        <v/>
      </c>
      <c r="O165" s="17">
        <f>_xlfn.XLOOKUP(A165,'작업관리'!B:B,'작업관리'!G:G,"")</f>
        <v/>
      </c>
      <c r="P165" s="18" t="n">
        <v>46477</v>
      </c>
      <c r="Q165" s="17">
        <f>IF(N165="완료","완료",IF(N165="보류","보류",IF(N165="진행 중",IF(P165&lt;TODAY(),"딜레이","진행중"),IF(P165&lt;TODAY(),"딜레이",IF(TODAY()&gt;=DATE(YEAR(P165),MONTH(P165)-2,1),"임박","예정")))))</f>
        <v/>
      </c>
      <c r="R165" s="19">
        <f>IF(OR(N165="완료",N165="보류"),"-",IF(P165&lt;TODAY(),TODAY()-P165,""))</f>
        <v/>
      </c>
    </row>
    <row r="166" ht="18" customHeight="1">
      <c r="A166" s="14" t="inlineStr">
        <is>
          <t>Bug-036 상호작용 씬 오버라이드 소실 수정</t>
        </is>
      </c>
      <c r="B166" s="16" t="n"/>
      <c r="C166" s="16" t="n"/>
      <c r="D166" s="21" t="inlineStr">
        <is>
          <t>✓</t>
        </is>
      </c>
      <c r="E166" s="16" t="n"/>
      <c r="F166" s="16" t="n"/>
      <c r="G166" s="16" t="n"/>
      <c r="H166" s="16" t="n"/>
      <c r="I166" s="16" t="n"/>
      <c r="J166" s="16" t="n"/>
      <c r="K166" s="16" t="n"/>
      <c r="L166" s="16" t="n"/>
      <c r="M166" s="17">
        <f>_xlfn.XLOOKUP(A166,'작업관리'!B:B,'작업관리'!E:E,"")</f>
        <v/>
      </c>
      <c r="N166" s="17">
        <f>_xlfn.XLOOKUP(A166,'작업관리'!B:B,'작업관리'!F:F,"")</f>
        <v/>
      </c>
      <c r="O166" s="17">
        <f>_xlfn.XLOOKUP(A166,'작업관리'!B:B,'작업관리'!G:G,"")</f>
        <v/>
      </c>
      <c r="P166" s="18" t="n">
        <v>46387</v>
      </c>
      <c r="Q166" s="17">
        <f>IF(N166="완료","완료",IF(N166="보류","보류",IF(N166="진행 중",IF(P166&lt;TODAY(),"딜레이","진행중"),IF(P166&lt;TODAY(),"딜레이",IF(TODAY()&gt;=DATE(YEAR(P166),MONTH(P166)-2,1),"임박","예정")))))</f>
        <v/>
      </c>
      <c r="R166" s="19">
        <f>IF(OR(N166="완료",N166="보류"),"-",IF(P166&lt;TODAY(),TODAY()-P166,""))</f>
        <v/>
      </c>
    </row>
    <row r="167" ht="18" customHeight="1">
      <c r="A167" s="14" t="inlineStr">
        <is>
          <t>draft_offered 계측 + 분석기 (제시 vs 획득)</t>
        </is>
      </c>
      <c r="B167" s="16" t="n"/>
      <c r="C167" s="16" t="n"/>
      <c r="D167" s="21" t="inlineStr">
        <is>
          <t>✓</t>
        </is>
      </c>
      <c r="E167" s="16" t="n"/>
      <c r="F167" s="16" t="n"/>
      <c r="G167" s="16" t="n"/>
      <c r="H167" s="16" t="n"/>
      <c r="I167" s="16" t="n"/>
      <c r="J167" s="16" t="n"/>
      <c r="K167" s="16" t="n"/>
      <c r="L167" s="16" t="n"/>
      <c r="M167" s="17">
        <f>_xlfn.XLOOKUP(A167,'작업관리'!B:B,'작업관리'!E:E,"")</f>
        <v/>
      </c>
      <c r="N167" s="17">
        <f>_xlfn.XLOOKUP(A167,'작업관리'!B:B,'작업관리'!F:F,"")</f>
        <v/>
      </c>
      <c r="O167" s="17">
        <f>_xlfn.XLOOKUP(A167,'작업관리'!B:B,'작업관리'!G:G,"")</f>
        <v/>
      </c>
      <c r="P167" s="18" t="n">
        <v>46387</v>
      </c>
      <c r="Q167" s="17">
        <f>IF(N167="완료","완료",IF(N167="보류","보류",IF(N167="진행 중",IF(P167&lt;TODAY(),"딜레이","진행중"),IF(P167&lt;TODAY(),"딜레이",IF(TODAY()&gt;=DATE(YEAR(P167),MONTH(P167)-2,1),"임박","예정")))))</f>
        <v/>
      </c>
      <c r="R167" s="19">
        <f>IF(OR(N167="완료",N167="보류"),"-",IF(P167&lt;TODAY(),TODAY()-P167,""))</f>
        <v/>
      </c>
    </row>
    <row r="168" ht="18" customHeight="1">
      <c r="A168" s="14" t="inlineStr">
        <is>
          <t>Run 씬 오버라이드 정리 + promptLabel 재배선</t>
        </is>
      </c>
      <c r="B168" s="16" t="n"/>
      <c r="C168" s="16" t="n"/>
      <c r="D168" s="21" t="inlineStr">
        <is>
          <t>✓</t>
        </is>
      </c>
      <c r="E168" s="16" t="n"/>
      <c r="F168" s="16" t="n"/>
      <c r="G168" s="16" t="n"/>
      <c r="H168" s="16" t="n"/>
      <c r="I168" s="16" t="n"/>
      <c r="J168" s="16" t="n"/>
      <c r="K168" s="16" t="n"/>
      <c r="L168" s="16" t="n"/>
      <c r="M168" s="17">
        <f>_xlfn.XLOOKUP(A168,'작업관리'!B:B,'작업관리'!E:E,"")</f>
        <v/>
      </c>
      <c r="N168" s="17">
        <f>_xlfn.XLOOKUP(A168,'작업관리'!B:B,'작업관리'!F:F,"")</f>
        <v/>
      </c>
      <c r="O168" s="17">
        <f>_xlfn.XLOOKUP(A168,'작업관리'!B:B,'작업관리'!G:G,"")</f>
        <v/>
      </c>
      <c r="P168" s="18" t="n">
        <v>46387</v>
      </c>
      <c r="Q168" s="17">
        <f>IF(N168="완료","완료",IF(N168="보류","보류",IF(N168="진행 중",IF(P168&lt;TODAY(),"딜레이","진행중"),IF(P168&lt;TODAY(),"딜레이",IF(TODAY()&gt;=DATE(YEAR(P168),MONTH(P168)-2,1),"임박","예정")))))</f>
        <v/>
      </c>
      <c r="R168" s="19">
        <f>IF(OR(N168="완료",N168="보류"),"-",IF(P168&lt;TODAY(),TODAY()-P168,""))</f>
        <v/>
      </c>
    </row>
    <row r="169" ht="18" customHeight="1">
      <c r="A169" s="14" t="inlineStr">
        <is>
          <t>시작 특전 에셋 실현 (시작 골드 + 무료 리롤)</t>
        </is>
      </c>
      <c r="B169" s="16" t="n"/>
      <c r="C169" s="16" t="n"/>
      <c r="D169" s="21" t="inlineStr">
        <is>
          <t>✓</t>
        </is>
      </c>
      <c r="E169" s="16" t="n"/>
      <c r="F169" s="16" t="n"/>
      <c r="G169" s="16" t="n"/>
      <c r="H169" s="16" t="n"/>
      <c r="I169" s="16" t="n"/>
      <c r="J169" s="16" t="n"/>
      <c r="K169" s="16" t="n"/>
      <c r="L169" s="16" t="n"/>
      <c r="M169" s="17">
        <f>_xlfn.XLOOKUP(A169,'작업관리'!B:B,'작업관리'!E:E,"")</f>
        <v/>
      </c>
      <c r="N169" s="17">
        <f>_xlfn.XLOOKUP(A169,'작업관리'!B:B,'작업관리'!F:F,"")</f>
        <v/>
      </c>
      <c r="O169" s="17">
        <f>_xlfn.XLOOKUP(A169,'작업관리'!B:B,'작업관리'!G:G,"")</f>
        <v/>
      </c>
      <c r="P169" s="18" t="n">
        <v>46387</v>
      </c>
      <c r="Q169" s="17">
        <f>IF(N169="완료","완료",IF(N169="보류","보류",IF(N169="진행 중",IF(P169&lt;TODAY(),"딜레이","진행중"),IF(P169&lt;TODAY(),"딜레이",IF(TODAY()&gt;=DATE(YEAR(P169),MONTH(P169)-2,1),"임박","예정")))))</f>
        <v/>
      </c>
      <c r="R169" s="19">
        <f>IF(OR(N169="완료",N169="보류"),"-",IF(P169&lt;TODAY(),TODAY()-P169,""))</f>
        <v/>
      </c>
    </row>
    <row r="170" ht="18" customHeight="1">
      <c r="A170" s="14" t="inlineStr">
        <is>
          <t>상점 리롤권 판매 (런 단위 리롤 +N)</t>
        </is>
      </c>
      <c r="B170" s="16" t="n"/>
      <c r="C170" s="16" t="n"/>
      <c r="D170" s="21" t="inlineStr">
        <is>
          <t>✓</t>
        </is>
      </c>
      <c r="E170" s="16" t="n"/>
      <c r="F170" s="16" t="n"/>
      <c r="G170" s="16" t="n"/>
      <c r="H170" s="16" t="n"/>
      <c r="I170" s="16" t="n"/>
      <c r="J170" s="16" t="n"/>
      <c r="K170" s="16" t="n"/>
      <c r="L170" s="16" t="n"/>
      <c r="M170" s="17">
        <f>_xlfn.XLOOKUP(A170,'작업관리'!B:B,'작업관리'!E:E,"")</f>
        <v/>
      </c>
      <c r="N170" s="17">
        <f>_xlfn.XLOOKUP(A170,'작업관리'!B:B,'작업관리'!F:F,"")</f>
        <v/>
      </c>
      <c r="O170" s="17">
        <f>_xlfn.XLOOKUP(A170,'작업관리'!B:B,'작업관리'!G:G,"")</f>
        <v/>
      </c>
      <c r="P170" s="18" t="n">
        <v>46387</v>
      </c>
      <c r="Q170" s="17">
        <f>IF(N170="완료","완료",IF(N170="보류","보류",IF(N170="진행 중",IF(P170&lt;TODAY(),"딜레이","진행중"),IF(P170&lt;TODAY(),"딜레이",IF(TODAY()&gt;=DATE(YEAR(P170),MONTH(P170)-2,1),"임박","예정")))))</f>
        <v/>
      </c>
      <c r="R170" s="19">
        <f>IF(OR(N170="완료",N170="보류"),"-",IF(P170&lt;TODAY(),TODAY()-P170,""))</f>
        <v/>
      </c>
    </row>
    <row r="171" ht="18" customHeight="1">
      <c r="A171" s="14" t="inlineStr">
        <is>
          <t>PlayMode 테스트 확충 (진행·전투·특전 13건)</t>
        </is>
      </c>
      <c r="B171" s="16" t="n"/>
      <c r="C171" s="16" t="n"/>
      <c r="D171" s="21" t="inlineStr">
        <is>
          <t>✓</t>
        </is>
      </c>
      <c r="E171" s="16" t="n"/>
      <c r="F171" s="16" t="n"/>
      <c r="G171" s="16" t="n"/>
      <c r="H171" s="16" t="n"/>
      <c r="I171" s="16" t="n"/>
      <c r="J171" s="16" t="n"/>
      <c r="K171" s="16" t="n"/>
      <c r="L171" s="16" t="n"/>
      <c r="M171" s="17">
        <f>_xlfn.XLOOKUP(A171,'작업관리'!B:B,'작업관리'!E:E,"")</f>
        <v/>
      </c>
      <c r="N171" s="17">
        <f>_xlfn.XLOOKUP(A171,'작업관리'!B:B,'작업관리'!F:F,"")</f>
        <v/>
      </c>
      <c r="O171" s="17">
        <f>_xlfn.XLOOKUP(A171,'작업관리'!B:B,'작업관리'!G:G,"")</f>
        <v/>
      </c>
      <c r="P171" s="18" t="n">
        <v>46387</v>
      </c>
      <c r="Q171" s="17">
        <f>IF(N171="완료","완료",IF(N171="보류","보류",IF(N171="진행 중",IF(P171&lt;TODAY(),"딜레이","진행중"),IF(P171&lt;TODAY(),"딜레이",IF(TODAY()&gt;=DATE(YEAR(P171),MONTH(P171)-2,1),"임박","예정")))))</f>
        <v/>
      </c>
      <c r="R171" s="19">
        <f>IF(OR(N171="완료",N171="보류"),"-",IF(P171&lt;TODAY(),TODAY()-P171,""))</f>
        <v/>
      </c>
    </row>
    <row r="172" ht="18" customHeight="1">
      <c r="A172" s="14" t="inlineStr">
        <is>
          <t>프레임 후처리 도구 5종 (팔레트/무게중심/아틀라스)</t>
        </is>
      </c>
      <c r="B172" s="16" t="n"/>
      <c r="C172" s="16" t="n"/>
      <c r="D172" s="36" t="n"/>
      <c r="E172" s="22" t="n"/>
      <c r="F172" s="16" t="n"/>
      <c r="G172" s="16" t="n"/>
      <c r="H172" s="16" t="n"/>
      <c r="I172" s="16" t="n"/>
      <c r="J172" s="16" t="n"/>
      <c r="K172" s="16" t="n"/>
      <c r="L172" s="16" t="n"/>
      <c r="M172" s="17">
        <f>_xlfn.XLOOKUP(A172,'작업관리'!B:B,'작업관리'!E:E,"")</f>
        <v/>
      </c>
      <c r="N172" s="17">
        <f>_xlfn.XLOOKUP(A172,'작업관리'!B:B,'작업관리'!F:F,"")</f>
        <v/>
      </c>
      <c r="O172" s="17">
        <f>_xlfn.XLOOKUP(A172,'작업관리'!B:B,'작업관리'!G:G,"")</f>
        <v/>
      </c>
      <c r="P172" s="18" t="n">
        <v>46477</v>
      </c>
      <c r="Q172" s="17">
        <f>IF(N172="완료","완료",IF(N172="보류","보류",IF(N172="진행 중",IF(P172&lt;TODAY(),"딜레이","진행중"),IF(P172&lt;TODAY(),"딜레이",IF(TODAY()&gt;=DATE(YEAR(P172),MONTH(P172)-2,1),"임박","예정")))))</f>
        <v/>
      </c>
      <c r="R172" s="19">
        <f>IF(OR(N172="완료",N172="보류"),"-",IF(P172&lt;TODAY(),TODAY()-P172,""))</f>
        <v/>
      </c>
    </row>
    <row r="173" ht="18" customHeight="1">
      <c r="A173" s="14" t="inlineStr">
        <is>
          <t>에디터 도구 창 통합 (메뉴 33→1 · 레지스트리·탭·설명 필수)</t>
        </is>
      </c>
      <c r="B173" s="16" t="n"/>
      <c r="C173" s="16" t="n"/>
      <c r="D173" s="21" t="inlineStr">
        <is>
          <t>✓</t>
        </is>
      </c>
      <c r="E173" s="16" t="n"/>
      <c r="F173" s="16" t="n"/>
      <c r="G173" s="16" t="n"/>
      <c r="H173" s="16" t="n"/>
      <c r="I173" s="16" t="n"/>
      <c r="J173" s="16" t="n"/>
      <c r="K173" s="16" t="n"/>
      <c r="L173" s="16" t="n"/>
      <c r="M173" s="17">
        <f>_xlfn.XLOOKUP(A173,'작업관리'!B:B,'작업관리'!E:E,"")</f>
        <v/>
      </c>
      <c r="N173" s="17">
        <f>_xlfn.XLOOKUP(A173,'작업관리'!B:B,'작업관리'!F:F,"")</f>
        <v/>
      </c>
      <c r="O173" s="17">
        <f>_xlfn.XLOOKUP(A173,'작업관리'!B:B,'작업관리'!G:G,"")</f>
        <v/>
      </c>
      <c r="P173" s="18" t="n">
        <v>46387</v>
      </c>
      <c r="Q173" s="17">
        <f>IF(N173="완료","완료",IF(N173="보류","보류",IF(N173="진행 중",IF(P173&lt;TODAY(),"딜레이","진행중"),IF(P173&lt;TODAY(),"딜레이",IF(TODAY()&gt;=DATE(YEAR(P173),MONTH(P173)-2,1),"임박","예정")))))</f>
        <v/>
      </c>
      <c r="R173" s="19">
        <f>IF(OR(N173="완료",N173="보류"),"-",IF(P173&lt;TODAY(),TODAY()-P173,""))</f>
        <v/>
      </c>
    </row>
    <row r="174" ht="18" customHeight="1">
      <c r="A174" s="14" t="inlineStr">
        <is>
          <t>Stat Inspector 창 (선택 추적 · 배율 층별 · 무기 강화·승계 확인)</t>
        </is>
      </c>
      <c r="B174" s="16" t="n"/>
      <c r="C174" s="16" t="n"/>
      <c r="D174" s="21" t="inlineStr">
        <is>
          <t>✓</t>
        </is>
      </c>
      <c r="E174" s="16" t="n"/>
      <c r="F174" s="16" t="n"/>
      <c r="G174" s="16" t="n"/>
      <c r="H174" s="16" t="n"/>
      <c r="I174" s="16" t="n"/>
      <c r="J174" s="16" t="n"/>
      <c r="K174" s="16" t="n"/>
      <c r="L174" s="16" t="n"/>
      <c r="M174" s="17">
        <f>_xlfn.XLOOKUP(A174,'작업관리'!B:B,'작업관리'!E:E,"")</f>
        <v/>
      </c>
      <c r="N174" s="17">
        <f>_xlfn.XLOOKUP(A174,'작업관리'!B:B,'작업관리'!F:F,"")</f>
        <v/>
      </c>
      <c r="O174" s="17">
        <f>_xlfn.XLOOKUP(A174,'작업관리'!B:B,'작업관리'!G:G,"")</f>
        <v/>
      </c>
      <c r="P174" s="18" t="n">
        <v>46387</v>
      </c>
      <c r="Q174" s="17">
        <f>IF(N174="완료","완료",IF(N174="보류","보류",IF(N174="진행 중",IF(P174&lt;TODAY(),"딜레이","진행중"),IF(P174&lt;TODAY(),"딜레이",IF(TODAY()&gt;=DATE(YEAR(P174),MONTH(P174)-2,1),"임박","예정")))))</f>
        <v/>
      </c>
      <c r="R174" s="19">
        <f>IF(OR(N174="완료",N174="보류"),"-",IF(P174&lt;TODAY(),TODAY()-P174,""))</f>
        <v/>
      </c>
    </row>
    <row r="175" ht="18" customHeight="1">
      <c r="A175" s="14" t="inlineStr">
        <is>
          <t>폼 4종 프레임 애니메이션 제작 (약 250장)</t>
        </is>
      </c>
      <c r="B175" s="16" t="n"/>
      <c r="C175" s="16" t="n"/>
      <c r="D175" s="16" t="n"/>
      <c r="E175" s="22" t="n"/>
      <c r="F175" s="23" t="n"/>
      <c r="G175" s="16" t="n"/>
      <c r="H175" s="16" t="n"/>
      <c r="I175" s="16" t="n"/>
      <c r="J175" s="16" t="n"/>
      <c r="K175" s="16" t="n"/>
      <c r="L175" s="16" t="n"/>
      <c r="M175" s="17">
        <f>_xlfn.XLOOKUP(A175,'작업관리'!B:B,'작업관리'!E:E,"")</f>
        <v/>
      </c>
      <c r="N175" s="17">
        <f>_xlfn.XLOOKUP(A175,'작업관리'!B:B,'작업관리'!F:F,"")</f>
        <v/>
      </c>
      <c r="O175" s="17">
        <f>_xlfn.XLOOKUP(A175,'작업관리'!B:B,'작업관리'!G:G,"")</f>
        <v/>
      </c>
      <c r="P175" s="18" t="n">
        <v>46568</v>
      </c>
      <c r="Q175" s="17">
        <f>IF(N175="완료","완료",IF(N175="보류","보류",IF(N175="진행 중",IF(P175&lt;TODAY(),"딜레이","진행중"),IF(P175&lt;TODAY(),"딜레이",IF(TODAY()&gt;=DATE(YEAR(P175),MONTH(P175)-2,1),"임박","예정")))))</f>
        <v/>
      </c>
      <c r="R175" s="19">
        <f>IF(OR(N175="완료",N175="보류"),"-",IF(P175&lt;TODAY(),TODAY()-P175,""))</f>
        <v/>
      </c>
    </row>
    <row r="176" ht="18" customHeight="1">
      <c r="A176" s="14" t="inlineStr">
        <is>
          <t>Prologue — 첫 추락 자막 (1인칭 4문단 확정)</t>
        </is>
      </c>
      <c r="B176" s="16" t="n"/>
      <c r="C176" s="16" t="n"/>
      <c r="D176" s="21" t="inlineStr">
        <is>
          <t>✓</t>
        </is>
      </c>
      <c r="E176" s="16" t="n"/>
      <c r="F176" s="16" t="n"/>
      <c r="G176" s="16" t="n"/>
      <c r="H176" s="16" t="n"/>
      <c r="I176" s="16" t="n"/>
      <c r="J176" s="16" t="n"/>
      <c r="K176" s="16" t="n"/>
      <c r="L176" s="16" t="n"/>
      <c r="M176" s="17">
        <f>_xlfn.XLOOKUP(A176,'작업관리'!B:B,'작업관리'!E:E,"")</f>
        <v/>
      </c>
      <c r="N176" s="17">
        <f>_xlfn.XLOOKUP(A176,'작업관리'!B:B,'작업관리'!F:F,"")</f>
        <v/>
      </c>
      <c r="O176" s="17">
        <f>_xlfn.XLOOKUP(A176,'작업관리'!B:B,'작업관리'!G:G,"")</f>
        <v/>
      </c>
      <c r="P176" s="18" t="n">
        <v>46387</v>
      </c>
      <c r="Q176" s="17">
        <f>IF(N176="완료","완료",IF(N176="보류","보류",IF(N176="진행 중",IF(P176&lt;TODAY(),"딜레이","진행중"),IF(P176&lt;TODAY(),"딜레이",IF(TODAY()&gt;=DATE(YEAR(P176),MONTH(P176)-2,1),"임박","예정")))))</f>
        <v/>
      </c>
      <c r="R176" s="19">
        <f>IF(OR(N176="완료",N176="보류"),"-",IF(P176&lt;TODAY(),TODAY()-P176,""))</f>
        <v/>
      </c>
    </row>
    <row r="177" ht="18" customHeight="1">
      <c r="A177" s="14" t="inlineStr">
        <is>
          <t>엔딩 자막 1인칭 전환 + 자막 텍스트 CSV 이관</t>
        </is>
      </c>
      <c r="B177" s="16" t="n"/>
      <c r="C177" s="16" t="n"/>
      <c r="D177" s="21" t="inlineStr">
        <is>
          <t>✓</t>
        </is>
      </c>
      <c r="E177" s="16" t="n"/>
      <c r="F177" s="16" t="n"/>
      <c r="G177" s="16" t="n"/>
      <c r="H177" s="16" t="n"/>
      <c r="I177" s="16" t="n"/>
      <c r="J177" s="16" t="n"/>
      <c r="K177" s="16" t="n"/>
      <c r="L177" s="16" t="n"/>
      <c r="M177" s="17">
        <f>_xlfn.XLOOKUP(A177,'작업관리'!B:B,'작업관리'!E:E,"")</f>
        <v/>
      </c>
      <c r="N177" s="17">
        <f>_xlfn.XLOOKUP(A177,'작업관리'!B:B,'작업관리'!F:F,"")</f>
        <v/>
      </c>
      <c r="O177" s="17">
        <f>_xlfn.XLOOKUP(A177,'작업관리'!B:B,'작업관리'!G:G,"")</f>
        <v/>
      </c>
      <c r="P177" s="18" t="n">
        <v>46387</v>
      </c>
      <c r="Q177" s="17">
        <f>IF(N177="완료","완료",IF(N177="보류","보류",IF(N177="진행 중",IF(P177&lt;TODAY(),"딜레이","진행중"),IF(P177&lt;TODAY(),"딜레이",IF(TODAY()&gt;=DATE(YEAR(P177),MONTH(P177)-2,1),"임박","예정")))))</f>
        <v/>
      </c>
      <c r="R177" s="19">
        <f>IF(OR(N177="완료",N177="보류"),"-",IF(P177&lt;TODAY(),TODAY()-P177,""))</f>
        <v/>
      </c>
    </row>
    <row r="178" ht="18" customHeight="1">
      <c r="A178" s="14" t="inlineStr">
        <is>
          <t>환경 서사 (벽화·유물)</t>
        </is>
      </c>
      <c r="B178" s="16" t="n"/>
      <c r="C178" s="16" t="n"/>
      <c r="D178" s="36" t="n"/>
      <c r="E178" s="22" t="n"/>
      <c r="F178" s="23" t="n"/>
      <c r="G178" s="16" t="n"/>
      <c r="H178" s="16" t="n"/>
      <c r="I178" s="16" t="n"/>
      <c r="J178" s="16" t="n"/>
      <c r="K178" s="16" t="n"/>
      <c r="L178" s="16" t="n"/>
      <c r="M178" s="17">
        <f>_xlfn.XLOOKUP(A178,'작업관리'!B:B,'작업관리'!E:E,"")</f>
        <v/>
      </c>
      <c r="N178" s="17">
        <f>_xlfn.XLOOKUP(A178,'작업관리'!B:B,'작업관리'!F:F,"")</f>
        <v/>
      </c>
      <c r="O178" s="17">
        <f>_xlfn.XLOOKUP(A178,'작업관리'!B:B,'작업관리'!G:G,"")</f>
        <v/>
      </c>
      <c r="P178" s="18" t="n">
        <v>46568</v>
      </c>
      <c r="Q178" s="17">
        <f>IF(N178="완료","완료",IF(N178="보류","보류",IF(N178="진행 중",IF(P178&lt;TODAY(),"딜레이","진행중"),IF(P178&lt;TODAY(),"딜레이",IF(TODAY()&gt;=DATE(YEAR(P178),MONTH(P178)-2,1),"임박","예정")))))</f>
        <v/>
      </c>
      <c r="R178" s="19">
        <f>IF(OR(N178="완료",N178="보류"),"-",IF(P178&lt;TODAY(),TODAY()-P178,""))</f>
        <v/>
      </c>
    </row>
    <row r="179" ht="18" customHeight="1">
      <c r="A179" s="14" t="inlineStr">
        <is>
          <t>Act1 — 균열·불꽃의 회랑</t>
        </is>
      </c>
      <c r="B179" s="16" t="n"/>
      <c r="C179" s="16" t="n"/>
      <c r="D179" s="16" t="n"/>
      <c r="E179" s="16" t="n"/>
      <c r="F179" s="23" t="n"/>
      <c r="G179" s="16" t="n"/>
      <c r="H179" s="16" t="n"/>
      <c r="I179" s="16" t="n"/>
      <c r="J179" s="16" t="n"/>
      <c r="K179" s="16" t="n"/>
      <c r="L179" s="16" t="n"/>
      <c r="M179" s="17">
        <f>_xlfn.XLOOKUP(A179,'작업관리'!B:B,'작업관리'!E:E,"")</f>
        <v/>
      </c>
      <c r="N179" s="17">
        <f>_xlfn.XLOOKUP(A179,'작업관리'!B:B,'작업관리'!F:F,"")</f>
        <v/>
      </c>
      <c r="O179" s="17">
        <f>_xlfn.XLOOKUP(A179,'작업관리'!B:B,'작업관리'!G:G,"")</f>
        <v/>
      </c>
      <c r="P179" s="18" t="n">
        <v>46568</v>
      </c>
      <c r="Q179" s="17">
        <f>IF(N179="완료","완료",IF(N179="보류","보류",IF(N179="진행 중",IF(P179&lt;TODAY(),"딜레이","진행중"),IF(P179&lt;TODAY(),"딜레이",IF(TODAY()&gt;=DATE(YEAR(P179),MONTH(P179)-2,1),"임박","예정")))))</f>
        <v/>
      </c>
      <c r="R179" s="19">
        <f>IF(OR(N179="완료",N179="보류"),"-",IF(P179&lt;TODAY(),TODAY()-P179,""))</f>
        <v/>
      </c>
    </row>
    <row r="180" ht="18" customHeight="1">
      <c r="A180" s="14" t="inlineStr">
        <is>
          <t>보스 컷씬 (정지화+자막)</t>
        </is>
      </c>
      <c r="B180" s="16" t="n"/>
      <c r="C180" s="16" t="n"/>
      <c r="D180" s="16" t="n"/>
      <c r="E180" s="16" t="n"/>
      <c r="F180" s="23" t="n"/>
      <c r="G180" s="40" t="n"/>
      <c r="H180" s="16" t="n"/>
      <c r="I180" s="16" t="n"/>
      <c r="J180" s="16" t="n"/>
      <c r="K180" s="16" t="n"/>
      <c r="L180" s="16" t="n"/>
      <c r="M180" s="17">
        <f>_xlfn.XLOOKUP(A180,'작업관리'!B:B,'작업관리'!E:E,"")</f>
        <v/>
      </c>
      <c r="N180" s="17">
        <f>_xlfn.XLOOKUP(A180,'작업관리'!B:B,'작업관리'!F:F,"")</f>
        <v/>
      </c>
      <c r="O180" s="17">
        <f>_xlfn.XLOOKUP(A180,'작업관리'!B:B,'작업관리'!G:G,"")</f>
        <v/>
      </c>
      <c r="P180" s="18" t="n">
        <v>46660</v>
      </c>
      <c r="Q180" s="17">
        <f>IF(N180="완료","완료",IF(N180="보류","보류",IF(N180="진행 중",IF(P180&lt;TODAY(),"딜레이","진행중"),IF(P180&lt;TODAY(),"딜레이",IF(TODAY()&gt;=DATE(YEAR(P180),MONTH(P180)-2,1),"임박","예정")))))</f>
        <v/>
      </c>
      <c r="R180" s="19">
        <f>IF(OR(N180="완료",N180="보류"),"-",IF(P180&lt;TODAY(),TODAY()-P180,""))</f>
        <v/>
      </c>
    </row>
    <row r="181" ht="18" customHeight="1">
      <c r="A181" s="14" t="inlineStr">
        <is>
          <t>보이스 (한국어, 주요 보스 5)</t>
        </is>
      </c>
      <c r="B181" s="16" t="n"/>
      <c r="C181" s="16" t="n"/>
      <c r="D181" s="16" t="n"/>
      <c r="E181" s="16" t="n"/>
      <c r="F181" s="16" t="n"/>
      <c r="G181" s="40" t="n"/>
      <c r="H181" s="16" t="n"/>
      <c r="I181" s="16" t="n"/>
      <c r="J181" s="16" t="n"/>
      <c r="K181" s="16" t="n"/>
      <c r="L181" s="16" t="n"/>
      <c r="M181" s="17">
        <f>_xlfn.XLOOKUP(A181,'작업관리'!B:B,'작업관리'!E:E,"")</f>
        <v/>
      </c>
      <c r="N181" s="17">
        <f>_xlfn.XLOOKUP(A181,'작업관리'!B:B,'작업관리'!F:F,"")</f>
        <v/>
      </c>
      <c r="O181" s="17">
        <f>_xlfn.XLOOKUP(A181,'작업관리'!B:B,'작업관리'!G:G,"")</f>
        <v/>
      </c>
      <c r="P181" s="18" t="n">
        <v>46660</v>
      </c>
      <c r="Q181" s="17">
        <f>IF(N181="완료","완료",IF(N181="보류","보류",IF(N181="진행 중",IF(P181&lt;TODAY(),"딜레이","진행중"),IF(P181&lt;TODAY(),"딜레이",IF(TODAY()&gt;=DATE(YEAR(P181),MONTH(P181)-2,1),"임박","예정")))))</f>
        <v/>
      </c>
      <c r="R181" s="19">
        <f>IF(OR(N181="완료",N181="보류"),"-",IF(P181&lt;TODAY(),TODAY()-P181,""))</f>
        <v/>
      </c>
    </row>
    <row r="182" ht="18" customHeight="1">
      <c r="A182" s="14" t="inlineStr">
        <is>
          <t>Act2 — 왕좌·빙결의 영지</t>
        </is>
      </c>
      <c r="B182" s="16" t="n"/>
      <c r="C182" s="16" t="n"/>
      <c r="D182" s="16" t="n"/>
      <c r="E182" s="16" t="n"/>
      <c r="F182" s="16" t="n"/>
      <c r="G182" s="40" t="n"/>
      <c r="H182" s="23" t="n"/>
      <c r="I182" s="24" t="n"/>
      <c r="J182" s="16" t="n"/>
      <c r="K182" s="16" t="n"/>
      <c r="L182" s="16" t="n"/>
      <c r="M182" s="17">
        <f>_xlfn.XLOOKUP(A182,'작업관리'!B:B,'작업관리'!E:E,"")</f>
        <v/>
      </c>
      <c r="N182" s="17">
        <f>_xlfn.XLOOKUP(A182,'작업관리'!B:B,'작업관리'!F:F,"")</f>
        <v/>
      </c>
      <c r="O182" s="17">
        <f>_xlfn.XLOOKUP(A182,'작업관리'!B:B,'작업관리'!G:G,"")</f>
        <v/>
      </c>
      <c r="P182" s="18" t="n">
        <v>46843</v>
      </c>
      <c r="Q182" s="17">
        <f>IF(N182="완료","완료",IF(N182="보류","보류",IF(N182="진행 중",IF(P182&lt;TODAY(),"딜레이","진행중"),IF(P182&lt;TODAY(),"딜레이",IF(TODAY()&gt;=DATE(YEAR(P182),MONTH(P182)-2,1),"임박","예정")))))</f>
        <v/>
      </c>
      <c r="R182" s="19">
        <f>IF(OR(N182="완료",N182="보류"),"-",IF(P182&lt;TODAY(),TODAY()-P182,""))</f>
        <v/>
      </c>
    </row>
    <row r="183" ht="18" customHeight="1">
      <c r="A183" s="14" t="inlineStr">
        <is>
          <t>Act3 — 심연의 핵</t>
        </is>
      </c>
      <c r="B183" s="16" t="n"/>
      <c r="C183" s="16" t="n"/>
      <c r="D183" s="16" t="n"/>
      <c r="E183" s="16" t="n"/>
      <c r="F183" s="16" t="n"/>
      <c r="G183" s="16" t="n"/>
      <c r="H183" s="16" t="n"/>
      <c r="I183" s="16" t="n"/>
      <c r="J183" s="24" t="n"/>
      <c r="K183" s="25" t="n"/>
      <c r="L183" s="16" t="n"/>
      <c r="M183" s="17">
        <f>_xlfn.XLOOKUP(A183,'작업관리'!B:B,'작업관리'!E:E,"")</f>
        <v/>
      </c>
      <c r="N183" s="17">
        <f>_xlfn.XLOOKUP(A183,'작업관리'!B:B,'작업관리'!F:F,"")</f>
        <v/>
      </c>
      <c r="O183" s="17">
        <f>_xlfn.XLOOKUP(A183,'작업관리'!B:B,'작업관리'!G:G,"")</f>
        <v/>
      </c>
      <c r="P183" s="18" t="n">
        <v>47026</v>
      </c>
      <c r="Q183" s="17">
        <f>IF(N183="완료","완료",IF(N183="보류","보류",IF(N183="진행 중",IF(P183&lt;TODAY(),"딜레이","진행중"),IF(P183&lt;TODAY(),"딜레이",IF(TODAY()&gt;=DATE(YEAR(P183),MONTH(P183)-2,1),"임박","예정")))))</f>
        <v/>
      </c>
      <c r="R183" s="19">
        <f>IF(OR(N183="완료",N183="보류"),"-",IF(P183&lt;TODAY(),TODAY()-P183,""))</f>
        <v/>
      </c>
    </row>
    <row r="184" ht="18" customHeight="1">
      <c r="A184" s="14" t="inlineStr">
        <is>
          <t>Act 전환 컷씬 (애니메이션)</t>
        </is>
      </c>
      <c r="B184" s="16" t="n"/>
      <c r="C184" s="16" t="n"/>
      <c r="D184" s="16" t="n"/>
      <c r="E184" s="16" t="n"/>
      <c r="F184" s="16" t="n"/>
      <c r="G184" s="16" t="n"/>
      <c r="H184" s="16" t="n"/>
      <c r="I184" s="16" t="n"/>
      <c r="J184" s="24" t="n"/>
      <c r="K184" s="25" t="n"/>
      <c r="L184" s="16" t="n"/>
      <c r="M184" s="17">
        <f>_xlfn.XLOOKUP(A184,'작업관리'!B:B,'작업관리'!E:E,"")</f>
        <v/>
      </c>
      <c r="N184" s="17">
        <f>_xlfn.XLOOKUP(A184,'작업관리'!B:B,'작업관리'!F:F,"")</f>
        <v/>
      </c>
      <c r="O184" s="17">
        <f>_xlfn.XLOOKUP(A184,'작업관리'!B:B,'작업관리'!G:G,"")</f>
        <v/>
      </c>
      <c r="P184" s="18" t="n">
        <v>47026</v>
      </c>
      <c r="Q184" s="17">
        <f>IF(N184="완료","완료",IF(N184="보류","보류",IF(N184="진행 중",IF(P184&lt;TODAY(),"딜레이","진행중"),IF(P184&lt;TODAY(),"딜레이",IF(TODAY()&gt;=DATE(YEAR(P184),MONTH(P184)-2,1),"임박","예정")))))</f>
        <v/>
      </c>
      <c r="R184" s="19">
        <f>IF(OR(N184="완료",N184="보류"),"-",IF(P184&lt;TODAY(),TODAY()-P184,""))</f>
        <v/>
      </c>
    </row>
    <row r="185" ht="18" customHeight="1">
      <c r="A185" s="14" t="inlineStr">
        <is>
          <t>다중 엔딩 2종 (귀환·동화)</t>
        </is>
      </c>
      <c r="B185" s="16" t="n"/>
      <c r="C185" s="16" t="n"/>
      <c r="D185" s="16" t="n"/>
      <c r="E185" s="16" t="n"/>
      <c r="F185" s="16" t="n"/>
      <c r="G185" s="16" t="n"/>
      <c r="H185" s="16" t="n"/>
      <c r="I185" s="16" t="n"/>
      <c r="J185" s="16" t="n"/>
      <c r="K185" s="16" t="n"/>
      <c r="L185" s="41" t="n"/>
      <c r="M185" s="17">
        <f>_xlfn.XLOOKUP(A185,'작업관리'!B:B,'작업관리'!E:E,"")</f>
        <v/>
      </c>
      <c r="N185" s="17">
        <f>_xlfn.XLOOKUP(A185,'작업관리'!B:B,'작업관리'!F:F,"")</f>
        <v/>
      </c>
      <c r="O185" s="17">
        <f>_xlfn.XLOOKUP(A185,'작업관리'!B:B,'작업관리'!G:G,"")</f>
        <v/>
      </c>
      <c r="P185" s="18" t="n">
        <v>47118</v>
      </c>
      <c r="Q185" s="17">
        <f>IF(N185="완료","완료",IF(N185="보류","보류",IF(N185="진행 중",IF(P185&lt;TODAY(),"딜레이","진행중"),IF(P185&lt;TODAY(),"딜레이",IF(TODAY()&gt;=DATE(YEAR(P185),MONTH(P185)-2,1),"임박","예정")))))</f>
        <v/>
      </c>
      <c r="R185" s="19">
        <f>IF(OR(N185="완료",N185="보류"),"-",IF(P185&lt;TODAY(),TODAY()-P185,""))</f>
        <v/>
      </c>
    </row>
    <row r="186" ht="18" customHeight="1">
      <c r="A186" s="14" t="inlineStr">
        <is>
          <t>히든 엔딩 (첫 추락자와 동화)</t>
        </is>
      </c>
      <c r="B186" s="16" t="n"/>
      <c r="C186" s="16" t="n"/>
      <c r="D186" s="16" t="n"/>
      <c r="E186" s="16" t="n"/>
      <c r="F186" s="16" t="n"/>
      <c r="G186" s="16" t="n"/>
      <c r="H186" s="16" t="n"/>
      <c r="I186" s="16" t="n"/>
      <c r="J186" s="16" t="n"/>
      <c r="K186" s="16" t="n"/>
      <c r="L186" s="26" t="inlineStr">
        <is>
          <t>H</t>
        </is>
      </c>
      <c r="M186" s="17">
        <f>_xlfn.XLOOKUP(A186,'작업관리'!B:B,'작업관리'!E:E,"")</f>
        <v/>
      </c>
      <c r="N186" s="17">
        <f>_xlfn.XLOOKUP(A186,'작업관리'!B:B,'작업관리'!F:F,"")</f>
        <v/>
      </c>
      <c r="O186" s="17">
        <f>_xlfn.XLOOKUP(A186,'작업관리'!B:B,'작업관리'!G:G,"")</f>
        <v/>
      </c>
      <c r="P186" s="18" t="n">
        <v>47118</v>
      </c>
      <c r="Q186" s="17">
        <f>IF(N186="완료","완료",IF(N186="보류","보류",IF(N186="진행 중",IF(P186&lt;TODAY(),"딜레이","진행중"),IF(P186&lt;TODAY(),"딜레이",IF(TODAY()&gt;=DATE(YEAR(P186),MONTH(P186)-2,1),"임박","예정")))))</f>
        <v/>
      </c>
      <c r="R186" s="19">
        <f>IF(OR(N186="완료",N186="보류"),"-",IF(P186&lt;TODAY(),TODAY()-P186,""))</f>
        <v/>
      </c>
    </row>
    <row r="187" ht="20" customHeight="1">
      <c r="A187" s="13" t="inlineStr">
        <is>
          <t>사운드 (Audio) ↗ (문서 열기)</t>
        </is>
      </c>
    </row>
    <row r="188" ht="18" customHeight="1">
      <c r="A188" s="14" t="inlineStr">
        <is>
          <t>BGM Stage 1 (placeholder→정식)</t>
        </is>
      </c>
      <c r="B188" s="16" t="n"/>
      <c r="C188" s="42" t="n"/>
      <c r="D188" s="36" t="n"/>
      <c r="E188" s="22" t="n"/>
      <c r="F188" s="16" t="n"/>
      <c r="G188" s="16" t="n"/>
      <c r="H188" s="16" t="n"/>
      <c r="I188" s="16" t="n"/>
      <c r="J188" s="16" t="n"/>
      <c r="K188" s="16" t="n"/>
      <c r="L188" s="16" t="n"/>
      <c r="M188" s="17">
        <f>_xlfn.XLOOKUP(A188,'작업관리'!B:B,'작업관리'!E:E,"")</f>
        <v/>
      </c>
      <c r="N188" s="17">
        <f>_xlfn.XLOOKUP(A188,'작업관리'!B:B,'작업관리'!F:F,"")</f>
        <v/>
      </c>
      <c r="O188" s="17">
        <f>_xlfn.XLOOKUP(A188,'작업관리'!B:B,'작업관리'!G:G,"")</f>
        <v/>
      </c>
      <c r="P188" s="18" t="n">
        <v>46477</v>
      </c>
      <c r="Q188" s="17">
        <f>IF(N188="완료","완료",IF(N188="보류","보류",IF(N188="진행 중",IF(P188&lt;TODAY(),"딜레이","진행중"),IF(P188&lt;TODAY(),"딜레이",IF(TODAY()&gt;=DATE(YEAR(P188),MONTH(P188)-2,1),"임박","예정")))))</f>
        <v/>
      </c>
      <c r="R188" s="19">
        <f>IF(OR(N188="완료",N188="보류"),"-",IF(P188&lt;TODAY(),TODAY()-P188,""))</f>
        <v/>
      </c>
    </row>
    <row r="189" ht="18" customHeight="1">
      <c r="A189" s="14" t="inlineStr">
        <is>
          <t>BGM Stage 2/3 + Title Theme</t>
        </is>
      </c>
      <c r="B189" s="16" t="n"/>
      <c r="C189" s="42" t="n"/>
      <c r="D189" s="36" t="n"/>
      <c r="E189" s="16" t="n"/>
      <c r="F189" s="16" t="n"/>
      <c r="G189" s="16" t="n"/>
      <c r="H189" s="16" t="n"/>
      <c r="I189" s="16" t="n"/>
      <c r="J189" s="16" t="n"/>
      <c r="K189" s="16" t="n"/>
      <c r="L189" s="16" t="n"/>
      <c r="M189" s="17">
        <f>_xlfn.XLOOKUP(A189,'작업관리'!B:B,'작업관리'!E:E,"")</f>
        <v/>
      </c>
      <c r="N189" s="17">
        <f>_xlfn.XLOOKUP(A189,'작업관리'!B:B,'작업관리'!F:F,"")</f>
        <v/>
      </c>
      <c r="O189" s="17">
        <f>_xlfn.XLOOKUP(A189,'작업관리'!B:B,'작업관리'!G:G,"")</f>
        <v/>
      </c>
      <c r="P189" s="18" t="n">
        <v>46387</v>
      </c>
      <c r="Q189" s="17">
        <f>IF(N189="완료","완료",IF(N189="보류","보류",IF(N189="진행 중",IF(P189&lt;TODAY(),"딜레이","진행중"),IF(P189&lt;TODAY(),"딜레이",IF(TODAY()&gt;=DATE(YEAR(P189),MONTH(P189)-2,1),"임박","예정")))))</f>
        <v/>
      </c>
      <c r="R189" s="19">
        <f>IF(OR(N189="완료",N189="보류"),"-",IF(P189&lt;TODAY(),TODAY()-P189,""))</f>
        <v/>
      </c>
    </row>
    <row r="190" ht="18" customHeight="1">
      <c r="A190" s="14" t="inlineStr">
        <is>
          <t>BGM Stage 4/5</t>
        </is>
      </c>
      <c r="B190" s="16" t="n"/>
      <c r="C190" s="16" t="n"/>
      <c r="D190" s="16" t="n"/>
      <c r="E190" s="22" t="n"/>
      <c r="F190" s="23" t="n"/>
      <c r="G190" s="16" t="n"/>
      <c r="H190" s="16" t="n"/>
      <c r="I190" s="16" t="n"/>
      <c r="J190" s="16" t="n"/>
      <c r="K190" s="16" t="n"/>
      <c r="L190" s="16" t="n"/>
      <c r="M190" s="17">
        <f>_xlfn.XLOOKUP(A190,'작업관리'!B:B,'작업관리'!E:E,"")</f>
        <v/>
      </c>
      <c r="N190" s="17">
        <f>_xlfn.XLOOKUP(A190,'작업관리'!B:B,'작업관리'!F:F,"")</f>
        <v/>
      </c>
      <c r="O190" s="17">
        <f>_xlfn.XLOOKUP(A190,'작업관리'!B:B,'작업관리'!G:G,"")</f>
        <v/>
      </c>
      <c r="P190" s="18" t="n">
        <v>46568</v>
      </c>
      <c r="Q190" s="17">
        <f>IF(N190="완료","완료",IF(N190="보류","보류",IF(N190="진행 중",IF(P190&lt;TODAY(),"딜레이","진행중"),IF(P190&lt;TODAY(),"딜레이",IF(TODAY()&gt;=DATE(YEAR(P190),MONTH(P190)-2,1),"임박","예정")))))</f>
        <v/>
      </c>
      <c r="R190" s="19">
        <f>IF(OR(N190="완료",N190="보류"),"-",IF(P190&lt;TODAY(),TODAY()-P190,""))</f>
        <v/>
      </c>
    </row>
    <row r="191" ht="18" customHeight="1">
      <c r="A191" s="14" t="inlineStr">
        <is>
          <t>BGM Boss Theme A/B</t>
        </is>
      </c>
      <c r="B191" s="16" t="n"/>
      <c r="C191" s="16" t="n"/>
      <c r="D191" s="16" t="n"/>
      <c r="E191" s="22" t="n"/>
      <c r="F191" s="23" t="n"/>
      <c r="G191" s="16" t="n"/>
      <c r="H191" s="16" t="n"/>
      <c r="I191" s="16" t="n"/>
      <c r="J191" s="16" t="n"/>
      <c r="K191" s="16" t="n"/>
      <c r="L191" s="16" t="n"/>
      <c r="M191" s="17">
        <f>_xlfn.XLOOKUP(A191,'작업관리'!B:B,'작업관리'!E:E,"")</f>
        <v/>
      </c>
      <c r="N191" s="17">
        <f>_xlfn.XLOOKUP(A191,'작업관리'!B:B,'작업관리'!F:F,"")</f>
        <v/>
      </c>
      <c r="O191" s="17">
        <f>_xlfn.XLOOKUP(A191,'작업관리'!B:B,'작업관리'!G:G,"")</f>
        <v/>
      </c>
      <c r="P191" s="18" t="n">
        <v>46568</v>
      </c>
      <c r="Q191" s="17">
        <f>IF(N191="완료","완료",IF(N191="보류","보류",IF(N191="진행 중",IF(P191&lt;TODAY(),"딜레이","진행중"),IF(P191&lt;TODAY(),"딜레이",IF(TODAY()&gt;=DATE(YEAR(P191),MONTH(P191)-2,1),"임박","예정")))))</f>
        <v/>
      </c>
      <c r="R191" s="19">
        <f>IF(OR(N191="완료",N191="보류"),"-",IF(P191&lt;TODAY(),TODAY()-P191,""))</f>
        <v/>
      </c>
    </row>
    <row r="192" ht="18" customHeight="1">
      <c r="A192" s="14" t="inlineStr">
        <is>
          <t>BGM Result Theme (승/패)</t>
        </is>
      </c>
      <c r="B192" s="16" t="n"/>
      <c r="C192" s="16" t="n"/>
      <c r="D192" s="16" t="n"/>
      <c r="E192" s="22" t="n"/>
      <c r="F192" s="16" t="n"/>
      <c r="G192" s="16" t="n"/>
      <c r="H192" s="16" t="n"/>
      <c r="I192" s="16" t="n"/>
      <c r="J192" s="16" t="n"/>
      <c r="K192" s="16" t="n"/>
      <c r="L192" s="16" t="n"/>
      <c r="M192" s="17">
        <f>_xlfn.XLOOKUP(A192,'작업관리'!B:B,'작업관리'!E:E,"")</f>
        <v/>
      </c>
      <c r="N192" s="17">
        <f>_xlfn.XLOOKUP(A192,'작업관리'!B:B,'작업관리'!F:F,"")</f>
        <v/>
      </c>
      <c r="O192" s="17">
        <f>_xlfn.XLOOKUP(A192,'작업관리'!B:B,'작업관리'!G:G,"")</f>
        <v/>
      </c>
      <c r="P192" s="18" t="n">
        <v>46477</v>
      </c>
      <c r="Q192" s="17">
        <f>IF(N192="완료","완료",IF(N192="보류","보류",IF(N192="진행 중",IF(P192&lt;TODAY(),"딜레이","진행중"),IF(P192&lt;TODAY(),"딜레이",IF(TODAY()&gt;=DATE(YEAR(P192),MONTH(P192)-2,1),"임박","예정")))))</f>
        <v/>
      </c>
      <c r="R192" s="19">
        <f>IF(OR(N192="완료",N192="보류"),"-",IF(P192&lt;TODAY(),TODAY()-P192,""))</f>
        <v/>
      </c>
    </row>
    <row r="193" ht="18" customHeight="1">
      <c r="A193" s="14" t="inlineStr">
        <is>
          <t>BGM Final Boss Theme</t>
        </is>
      </c>
      <c r="B193" s="16" t="n"/>
      <c r="C193" s="16" t="n"/>
      <c r="D193" s="16" t="n"/>
      <c r="E193" s="16" t="n"/>
      <c r="F193" s="16" t="n"/>
      <c r="G193" s="16" t="n"/>
      <c r="H193" s="16" t="n"/>
      <c r="I193" s="16" t="n"/>
      <c r="J193" s="16" t="n"/>
      <c r="K193" s="25" t="n"/>
      <c r="L193" s="16" t="n"/>
      <c r="M193" s="17">
        <f>_xlfn.XLOOKUP(A193,'작업관리'!B:B,'작업관리'!E:E,"")</f>
        <v/>
      </c>
      <c r="N193" s="17">
        <f>_xlfn.XLOOKUP(A193,'작업관리'!B:B,'작업관리'!F:F,"")</f>
        <v/>
      </c>
      <c r="O193" s="17">
        <f>_xlfn.XLOOKUP(A193,'작업관리'!B:B,'작업관리'!G:G,"")</f>
        <v/>
      </c>
      <c r="P193" s="18" t="n">
        <v>47026</v>
      </c>
      <c r="Q193" s="17">
        <f>IF(N193="완료","완료",IF(N193="보류","보류",IF(N193="진행 중",IF(P193&lt;TODAY(),"딜레이","진행중"),IF(P193&lt;TODAY(),"딜레이",IF(TODAY()&gt;=DATE(YEAR(P193),MONTH(P193)-2,1),"임박","예정")))))</f>
        <v/>
      </c>
      <c r="R193" s="19">
        <f>IF(OR(N193="완료",N193="보류"),"-",IF(P193&lt;TODAY(),TODAY()-P193,""))</f>
        <v/>
      </c>
    </row>
    <row r="194" ht="18" customHeight="1">
      <c r="A194" s="14" t="inlineStr">
        <is>
          <t>BGM Hidden Theme</t>
        </is>
      </c>
      <c r="B194" s="16" t="n"/>
      <c r="C194" s="16" t="n"/>
      <c r="D194" s="16" t="n"/>
      <c r="E194" s="16" t="n"/>
      <c r="F194" s="16" t="n"/>
      <c r="G194" s="16" t="n"/>
      <c r="H194" s="16" t="n"/>
      <c r="I194" s="16" t="n"/>
      <c r="J194" s="16" t="n"/>
      <c r="K194" s="16" t="n"/>
      <c r="L194" s="26" t="inlineStr">
        <is>
          <t>H</t>
        </is>
      </c>
      <c r="M194" s="17">
        <f>_xlfn.XLOOKUP(A194,'작업관리'!B:B,'작업관리'!E:E,"")</f>
        <v/>
      </c>
      <c r="N194" s="17">
        <f>_xlfn.XLOOKUP(A194,'작업관리'!B:B,'작업관리'!F:F,"")</f>
        <v/>
      </c>
      <c r="O194" s="17">
        <f>_xlfn.XLOOKUP(A194,'작업관리'!B:B,'작업관리'!G:G,"")</f>
        <v/>
      </c>
      <c r="P194" s="18" t="n">
        <v>47118</v>
      </c>
      <c r="Q194" s="17">
        <f>IF(N194="완료","완료",IF(N194="보류","보류",IF(N194="진행 중",IF(P194&lt;TODAY(),"딜레이","진행중"),IF(P194&lt;TODAY(),"딜레이",IF(TODAY()&gt;=DATE(YEAR(P194),MONTH(P194)-2,1),"임박","예정")))))</f>
        <v/>
      </c>
      <c r="R194" s="19">
        <f>IF(OR(N194="완료",N194="보류"),"-",IF(P194&lt;TODAY(),TODAY()-P194,""))</f>
        <v/>
      </c>
    </row>
    <row r="195" ht="18" customHeight="1">
      <c r="A195" s="14" t="inlineStr">
        <is>
          <t>SFX 폼 교체·스킬 30종</t>
        </is>
      </c>
      <c r="B195" s="16" t="n"/>
      <c r="C195" s="42" t="n"/>
      <c r="D195" s="16" t="n"/>
      <c r="E195" s="16" t="n"/>
      <c r="F195" s="16" t="n"/>
      <c r="G195" s="16" t="n"/>
      <c r="H195" s="16" t="n"/>
      <c r="I195" s="16" t="n"/>
      <c r="J195" s="16" t="n"/>
      <c r="K195" s="16" t="n"/>
      <c r="L195" s="16" t="n"/>
      <c r="M195" s="17">
        <f>_xlfn.XLOOKUP(A195,'작업관리'!B:B,'작업관리'!E:E,"")</f>
        <v/>
      </c>
      <c r="N195" s="17">
        <f>_xlfn.XLOOKUP(A195,'작업관리'!B:B,'작업관리'!F:F,"")</f>
        <v/>
      </c>
      <c r="O195" s="17">
        <f>_xlfn.XLOOKUP(A195,'작업관리'!B:B,'작업관리'!G:G,"")</f>
        <v/>
      </c>
      <c r="P195" s="18" t="n">
        <v>46295</v>
      </c>
      <c r="Q195" s="17">
        <f>IF(N195="완료","완료",IF(N195="보류","보류",IF(N195="진행 중",IF(P195&lt;TODAY(),"딜레이","진행중"),IF(P195&lt;TODAY(),"딜레이",IF(TODAY()&gt;=DATE(YEAR(P195),MONTH(P195)-2,1),"임박","예정")))))</f>
        <v/>
      </c>
      <c r="R195" s="19">
        <f>IF(OR(N195="완료",N195="보류"),"-",IF(P195&lt;TODAY(),TODAY()-P195,""))</f>
        <v/>
      </c>
    </row>
    <row r="196" ht="18" customHeight="1">
      <c r="A196" s="14" t="inlineStr">
        <is>
          <t>SFX 적 공격·피격·죽음</t>
        </is>
      </c>
      <c r="B196" s="16" t="n"/>
      <c r="C196" s="16" t="n"/>
      <c r="D196" s="36" t="n"/>
      <c r="E196" s="16" t="n"/>
      <c r="F196" s="16" t="n"/>
      <c r="G196" s="16" t="n"/>
      <c r="H196" s="16" t="n"/>
      <c r="I196" s="16" t="n"/>
      <c r="J196" s="16" t="n"/>
      <c r="K196" s="16" t="n"/>
      <c r="L196" s="16" t="n"/>
      <c r="M196" s="17">
        <f>_xlfn.XLOOKUP(A196,'작업관리'!B:B,'작업관리'!E:E,"")</f>
        <v/>
      </c>
      <c r="N196" s="17">
        <f>_xlfn.XLOOKUP(A196,'작업관리'!B:B,'작업관리'!F:F,"")</f>
        <v/>
      </c>
      <c r="O196" s="17">
        <f>_xlfn.XLOOKUP(A196,'작업관리'!B:B,'작업관리'!G:G,"")</f>
        <v/>
      </c>
      <c r="P196" s="18" t="n">
        <v>46387</v>
      </c>
      <c r="Q196" s="17">
        <f>IF(N196="완료","완료",IF(N196="보류","보류",IF(N196="진행 중",IF(P196&lt;TODAY(),"딜레이","진행중"),IF(P196&lt;TODAY(),"딜레이",IF(TODAY()&gt;=DATE(YEAR(P196),MONTH(P196)-2,1),"임박","예정")))))</f>
        <v/>
      </c>
      <c r="R196" s="19">
        <f>IF(OR(N196="완료",N196="보류"),"-",IF(P196&lt;TODAY(),TODAY()-P196,""))</f>
        <v/>
      </c>
    </row>
    <row r="197" ht="18" customHeight="1">
      <c r="A197" s="14" t="inlineStr">
        <is>
          <t>SFX UI 풀 (드래프트 호버·리롤·스킵)</t>
        </is>
      </c>
      <c r="B197" s="16" t="n"/>
      <c r="C197" s="16" t="n"/>
      <c r="D197" s="16" t="n"/>
      <c r="E197" s="22" t="n"/>
      <c r="F197" s="16" t="n"/>
      <c r="G197" s="16" t="n"/>
      <c r="H197" s="16" t="n"/>
      <c r="I197" s="16" t="n"/>
      <c r="J197" s="16" t="n"/>
      <c r="K197" s="16" t="n"/>
      <c r="L197" s="16" t="n"/>
      <c r="M197" s="17">
        <f>_xlfn.XLOOKUP(A197,'작업관리'!B:B,'작업관리'!E:E,"")</f>
        <v/>
      </c>
      <c r="N197" s="17">
        <f>_xlfn.XLOOKUP(A197,'작업관리'!B:B,'작업관리'!F:F,"")</f>
        <v/>
      </c>
      <c r="O197" s="17">
        <f>_xlfn.XLOOKUP(A197,'작업관리'!B:B,'작업관리'!G:G,"")</f>
        <v/>
      </c>
      <c r="P197" s="18" t="n">
        <v>46477</v>
      </c>
      <c r="Q197" s="17">
        <f>IF(N197="완료","완료",IF(N197="보류","보류",IF(N197="진행 중",IF(P197&lt;TODAY(),"딜레이","진행중"),IF(P197&lt;TODAY(),"딜레이",IF(TODAY()&gt;=DATE(YEAR(P197),MONTH(P197)-2,1),"임박","예정")))))</f>
        <v/>
      </c>
      <c r="R197" s="19">
        <f>IF(OR(N197="완료",N197="보류"),"-",IF(P197&lt;TODAY(),TODAY()-P197,""))</f>
        <v/>
      </c>
    </row>
    <row r="198" ht="18" customHeight="1">
      <c r="A198" s="14" t="inlineStr">
        <is>
          <t>SFX 보스 음성 효과</t>
        </is>
      </c>
      <c r="B198" s="16" t="n"/>
      <c r="C198" s="16" t="n"/>
      <c r="D198" s="16" t="n"/>
      <c r="E198" s="16" t="n"/>
      <c r="F198" s="23" t="n"/>
      <c r="G198" s="16" t="n"/>
      <c r="H198" s="16" t="n"/>
      <c r="I198" s="16" t="n"/>
      <c r="J198" s="16" t="n"/>
      <c r="K198" s="16" t="n"/>
      <c r="L198" s="16" t="n"/>
      <c r="M198" s="17">
        <f>_xlfn.XLOOKUP(A198,'작업관리'!B:B,'작업관리'!E:E,"")</f>
        <v/>
      </c>
      <c r="N198" s="17">
        <f>_xlfn.XLOOKUP(A198,'작업관리'!B:B,'작업관리'!F:F,"")</f>
        <v/>
      </c>
      <c r="O198" s="17">
        <f>_xlfn.XLOOKUP(A198,'작업관리'!B:B,'작업관리'!G:G,"")</f>
        <v/>
      </c>
      <c r="P198" s="18" t="n">
        <v>46568</v>
      </c>
      <c r="Q198" s="17">
        <f>IF(N198="완료","완료",IF(N198="보류","보류",IF(N198="진행 중",IF(P198&lt;TODAY(),"딜레이","진행중"),IF(P198&lt;TODAY(),"딜레이",IF(TODAY()&gt;=DATE(YEAR(P198),MONTH(P198)-2,1),"임박","예정")))))</f>
        <v/>
      </c>
      <c r="R198" s="19">
        <f>IF(OR(N198="완료",N198="보류"),"-",IF(P198&lt;TODAY(),TODAY()-P198,""))</f>
        <v/>
      </c>
    </row>
    <row r="199" ht="20" customHeight="1">
      <c r="A199" s="13" t="inlineStr">
        <is>
          <t>UI·메뉴 (UI / Menus) ↗ (문서 열기)</t>
        </is>
      </c>
    </row>
    <row r="200" ht="18" customHeight="1">
      <c r="A200" s="14" t="inlineStr">
        <is>
          <t>HUD + DraftPanel + ResultPanel</t>
        </is>
      </c>
      <c r="B200" s="15" t="inlineStr">
        <is>
          <t>✓</t>
        </is>
      </c>
      <c r="C200" s="16" t="n"/>
      <c r="D200" s="16" t="n"/>
      <c r="E200" s="16" t="n"/>
      <c r="F200" s="16" t="n"/>
      <c r="G200" s="16" t="n"/>
      <c r="H200" s="16" t="n"/>
      <c r="I200" s="16" t="n"/>
      <c r="J200" s="16" t="n"/>
      <c r="K200" s="16" t="n"/>
      <c r="L200" s="16" t="n"/>
      <c r="M200" s="17">
        <f>_xlfn.XLOOKUP(A200,'작업관리'!B:B,'작업관리'!E:E,"")</f>
        <v/>
      </c>
      <c r="N200" s="17">
        <f>_xlfn.XLOOKUP(A200,'작업관리'!B:B,'작업관리'!F:F,"")</f>
        <v/>
      </c>
      <c r="O200" s="17">
        <f>_xlfn.XLOOKUP(A200,'작업관리'!B:B,'작업관리'!G:G,"")</f>
        <v/>
      </c>
      <c r="P200" s="18" t="n">
        <v>46203</v>
      </c>
      <c r="Q200" s="17">
        <f>IF(N200="완료","완료",IF(N200="보류","보류",IF(N200="진행 중",IF(P200&lt;TODAY(),"딜레이","진행중"),IF(P200&lt;TODAY(),"딜레이",IF(TODAY()&gt;=DATE(YEAR(P200),MONTH(P200)-2,1),"임박","예정")))))</f>
        <v/>
      </c>
      <c r="R200" s="19">
        <f>IF(OR(N200="완료",N200="보류"),"-",IF(P200&lt;TODAY(),TODAY()-P200,""))</f>
        <v/>
      </c>
    </row>
    <row r="201" ht="18" customHeight="1">
      <c r="A201" s="14" t="inlineStr">
        <is>
          <t>미드런 폼 보상 슬롯 선택 모달</t>
        </is>
      </c>
      <c r="B201" s="16" t="n"/>
      <c r="C201" s="20" t="inlineStr">
        <is>
          <t>✓</t>
        </is>
      </c>
      <c r="D201" s="16" t="n"/>
      <c r="E201" s="16" t="n"/>
      <c r="F201" s="16" t="n"/>
      <c r="G201" s="16" t="n"/>
      <c r="H201" s="16" t="n"/>
      <c r="I201" s="16" t="n"/>
      <c r="J201" s="16" t="n"/>
      <c r="K201" s="16" t="n"/>
      <c r="L201" s="16" t="n"/>
      <c r="M201" s="17">
        <f>_xlfn.XLOOKUP(A201,'작업관리'!B:B,'작업관리'!E:E,"")</f>
        <v/>
      </c>
      <c r="N201" s="17">
        <f>_xlfn.XLOOKUP(A201,'작업관리'!B:B,'작업관리'!F:F,"")</f>
        <v/>
      </c>
      <c r="O201" s="17">
        <f>_xlfn.XLOOKUP(A201,'작업관리'!B:B,'작업관리'!G:G,"")</f>
        <v/>
      </c>
      <c r="P201" s="18" t="n">
        <v>46295</v>
      </c>
      <c r="Q201" s="17">
        <f>IF(N201="완료","완료",IF(N201="보류","보류",IF(N201="진행 중",IF(P201&lt;TODAY(),"딜레이","진행중"),IF(P201&lt;TODAY(),"딜레이",IF(TODAY()&gt;=DATE(YEAR(P201),MONTH(P201)-2,1),"임박","예정")))))</f>
        <v/>
      </c>
      <c r="R201" s="19">
        <f>IF(OR(N201="완료",N201="보류"),"-",IF(P201&lt;TODAY(),TODAY()-P201,""))</f>
        <v/>
      </c>
    </row>
    <row r="202" ht="18" customHeight="1">
      <c r="A202" s="14" t="inlineStr">
        <is>
          <t>폼 보상 정식 트리거 (FormAltar)</t>
        </is>
      </c>
      <c r="B202" s="16" t="n"/>
      <c r="C202" s="20" t="inlineStr">
        <is>
          <t>✓</t>
        </is>
      </c>
      <c r="D202" s="16" t="n"/>
      <c r="E202" s="16" t="n"/>
      <c r="F202" s="16" t="n"/>
      <c r="G202" s="16" t="n"/>
      <c r="H202" s="16" t="n"/>
      <c r="I202" s="16" t="n"/>
      <c r="J202" s="16" t="n"/>
      <c r="K202" s="16" t="n"/>
      <c r="L202" s="16" t="n"/>
      <c r="M202" s="17">
        <f>_xlfn.XLOOKUP(A202,'작업관리'!B:B,'작업관리'!E:E,"")</f>
        <v/>
      </c>
      <c r="N202" s="17">
        <f>_xlfn.XLOOKUP(A202,'작업관리'!B:B,'작업관리'!F:F,"")</f>
        <v/>
      </c>
      <c r="O202" s="17">
        <f>_xlfn.XLOOKUP(A202,'작업관리'!B:B,'작업관리'!G:G,"")</f>
        <v/>
      </c>
      <c r="P202" s="18" t="n">
        <v>46295</v>
      </c>
      <c r="Q202" s="17">
        <f>IF(N202="완료","완료",IF(N202="보류","보류",IF(N202="진행 중",IF(P202&lt;TODAY(),"딜레이","진행중"),IF(P202&lt;TODAY(),"딜레이",IF(TODAY()&gt;=DATE(YEAR(P202),MONTH(P202)-2,1),"임박","예정")))))</f>
        <v/>
      </c>
      <c r="R202" s="19">
        <f>IF(OR(N202="완료",N202="보류"),"-",IF(P202&lt;TODAY(),TODAY()-P202,""))</f>
        <v/>
      </c>
    </row>
    <row r="203" ht="18" customHeight="1">
      <c r="A203" s="14" t="inlineStr">
        <is>
          <t>폼 보상 룸 게이트 (룸 진행 연동)</t>
        </is>
      </c>
      <c r="B203" s="16" t="n"/>
      <c r="C203" s="20" t="inlineStr">
        <is>
          <t>✓</t>
        </is>
      </c>
      <c r="D203" s="16" t="n"/>
      <c r="E203" s="16" t="n"/>
      <c r="F203" s="16" t="n"/>
      <c r="G203" s="16" t="n"/>
      <c r="H203" s="16" t="n"/>
      <c r="I203" s="16" t="n"/>
      <c r="J203" s="16" t="n"/>
      <c r="K203" s="16" t="n"/>
      <c r="L203" s="16" t="n"/>
      <c r="M203" s="17">
        <f>_xlfn.XLOOKUP(A203,'작업관리'!B:B,'작업관리'!E:E,"")</f>
        <v/>
      </c>
      <c r="N203" s="17">
        <f>_xlfn.XLOOKUP(A203,'작업관리'!B:B,'작업관리'!F:F,"")</f>
        <v/>
      </c>
      <c r="O203" s="17">
        <f>_xlfn.XLOOKUP(A203,'작업관리'!B:B,'작업관리'!G:G,"")</f>
        <v/>
      </c>
      <c r="P203" s="18" t="n">
        <v>46295</v>
      </c>
      <c r="Q203" s="17">
        <f>IF(N203="완료","완료",IF(N203="보류","보류",IF(N203="진행 중",IF(P203&lt;TODAY(),"딜레이","진행중"),IF(P203&lt;TODAY(),"딜레이",IF(TODAY()&gt;=DATE(YEAR(P203),MONTH(P203)-2,1),"임박","예정")))))</f>
        <v/>
      </c>
      <c r="R203" s="19">
        <f>IF(OR(N203="완료",N203="보류"),"-",IF(P203&lt;TODAY(),TODAY()-P203,""))</f>
        <v/>
      </c>
    </row>
    <row r="204" ht="18" customHeight="1">
      <c r="A204" s="14" t="inlineStr">
        <is>
          <t>폼 편향 경고 배너 (MF-5)</t>
        </is>
      </c>
      <c r="B204" s="16" t="n"/>
      <c r="C204" s="20" t="inlineStr">
        <is>
          <t>✓</t>
        </is>
      </c>
      <c r="D204" s="16" t="n"/>
      <c r="E204" s="16" t="n"/>
      <c r="F204" s="16" t="n"/>
      <c r="G204" s="16" t="n"/>
      <c r="H204" s="16" t="n"/>
      <c r="I204" s="16" t="n"/>
      <c r="J204" s="16" t="n"/>
      <c r="K204" s="16" t="n"/>
      <c r="L204" s="16" t="n"/>
      <c r="M204" s="17">
        <f>_xlfn.XLOOKUP(A204,'작업관리'!B:B,'작업관리'!E:E,"")</f>
        <v/>
      </c>
      <c r="N204" s="17">
        <f>_xlfn.XLOOKUP(A204,'작업관리'!B:B,'작업관리'!F:F,"")</f>
        <v/>
      </c>
      <c r="O204" s="17">
        <f>_xlfn.XLOOKUP(A204,'작업관리'!B:B,'작업관리'!G:G,"")</f>
        <v/>
      </c>
      <c r="P204" s="18" t="n">
        <v>46295</v>
      </c>
      <c r="Q204" s="17">
        <f>IF(N204="완료","완료",IF(N204="보류","보류",IF(N204="진행 중",IF(P204&lt;TODAY(),"딜레이","진행중"),IF(P204&lt;TODAY(),"딜레이",IF(TODAY()&gt;=DATE(YEAR(P204),MONTH(P204)-2,1),"임박","예정")))))</f>
        <v/>
      </c>
      <c r="R204" s="19">
        <f>IF(OR(N204="완료",N204="보류"),"-",IF(P204&lt;TODAY(),TODAY()-P204,""))</f>
        <v/>
      </c>
    </row>
    <row r="205" ht="18" customHeight="1">
      <c r="A205" s="14" t="inlineStr">
        <is>
          <t>Pause 패널 + 게임 종료 경로</t>
        </is>
      </c>
      <c r="B205" s="16" t="n"/>
      <c r="C205" s="20" t="inlineStr">
        <is>
          <t>✓</t>
        </is>
      </c>
      <c r="D205" s="16" t="n"/>
      <c r="E205" s="16" t="n"/>
      <c r="F205" s="16" t="n"/>
      <c r="G205" s="16" t="n"/>
      <c r="H205" s="16" t="n"/>
      <c r="I205" s="16" t="n"/>
      <c r="J205" s="16" t="n"/>
      <c r="K205" s="16" t="n"/>
      <c r="L205" s="16" t="n"/>
      <c r="M205" s="17">
        <f>_xlfn.XLOOKUP(A205,'작업관리'!B:B,'작업관리'!E:E,"")</f>
        <v/>
      </c>
      <c r="N205" s="17">
        <f>_xlfn.XLOOKUP(A205,'작업관리'!B:B,'작업관리'!F:F,"")</f>
        <v/>
      </c>
      <c r="O205" s="17">
        <f>_xlfn.XLOOKUP(A205,'작업관리'!B:B,'작업관리'!G:G,"")</f>
        <v/>
      </c>
      <c r="P205" s="18" t="n">
        <v>46295</v>
      </c>
      <c r="Q205" s="17">
        <f>IF(N205="완료","완료",IF(N205="보류","보류",IF(N205="진행 중",IF(P205&lt;TODAY(),"딜레이","진행중"),IF(P205&lt;TODAY(),"딜레이",IF(TODAY()&gt;=DATE(YEAR(P205),MONTH(P205)-2,1),"임박","예정")))))</f>
        <v/>
      </c>
      <c r="R205" s="19">
        <f>IF(OR(N205="완료",N205="보류"),"-",IF(P205&lt;TODAY(),TODAY()-P205,""))</f>
        <v/>
      </c>
    </row>
    <row r="206" ht="18" customHeight="1">
      <c r="A206" s="14" t="inlineStr">
        <is>
          <t>메인 메뉴 (Title 씬)</t>
        </is>
      </c>
      <c r="B206" s="16" t="n"/>
      <c r="C206" s="20" t="inlineStr">
        <is>
          <t>✓</t>
        </is>
      </c>
      <c r="D206" s="16" t="n"/>
      <c r="E206" s="16" t="n"/>
      <c r="F206" s="16" t="n"/>
      <c r="G206" s="16" t="n"/>
      <c r="H206" s="16" t="n"/>
      <c r="I206" s="16" t="n"/>
      <c r="J206" s="16" t="n"/>
      <c r="K206" s="16" t="n"/>
      <c r="L206" s="16" t="n"/>
      <c r="M206" s="17">
        <f>_xlfn.XLOOKUP(A206,'작업관리'!B:B,'작업관리'!E:E,"")</f>
        <v/>
      </c>
      <c r="N206" s="17">
        <f>_xlfn.XLOOKUP(A206,'작업관리'!B:B,'작업관리'!F:F,"")</f>
        <v/>
      </c>
      <c r="O206" s="17">
        <f>_xlfn.XLOOKUP(A206,'작업관리'!B:B,'작업관리'!G:G,"")</f>
        <v/>
      </c>
      <c r="P206" s="18" t="n">
        <v>46295</v>
      </c>
      <c r="Q206" s="17">
        <f>IF(N206="완료","완료",IF(N206="보류","보류",IF(N206="진행 중",IF(P206&lt;TODAY(),"딜레이","진행중"),IF(P206&lt;TODAY(),"딜레이",IF(TODAY()&gt;=DATE(YEAR(P206),MONTH(P206)-2,1),"임박","예정")))))</f>
        <v/>
      </c>
      <c r="R206" s="19">
        <f>IF(OR(N206="완료",N206="보류"),"-",IF(P206&lt;TODAY(),TODAY()-P206,""))</f>
        <v/>
      </c>
    </row>
    <row r="207" ht="18" customHeight="1">
      <c r="A207" s="14" t="inlineStr">
        <is>
          <t>타이틀 협곡 배경 애니메이션</t>
        </is>
      </c>
      <c r="B207" s="16" t="n"/>
      <c r="C207" s="16" t="n"/>
      <c r="D207" s="21" t="inlineStr">
        <is>
          <t>✓</t>
        </is>
      </c>
      <c r="E207" s="16" t="n"/>
      <c r="F207" s="16" t="n"/>
      <c r="G207" s="16" t="n"/>
      <c r="H207" s="16" t="n"/>
      <c r="I207" s="16" t="n"/>
      <c r="J207" s="16" t="n"/>
      <c r="K207" s="16" t="n"/>
      <c r="L207" s="16" t="n"/>
      <c r="M207" s="17">
        <f>_xlfn.XLOOKUP(A207,'작업관리'!B:B,'작업관리'!E:E,"")</f>
        <v/>
      </c>
      <c r="N207" s="17">
        <f>_xlfn.XLOOKUP(A207,'작업관리'!B:B,'작업관리'!F:F,"")</f>
        <v/>
      </c>
      <c r="O207" s="17">
        <f>_xlfn.XLOOKUP(A207,'작업관리'!B:B,'작업관리'!G:G,"")</f>
        <v/>
      </c>
      <c r="P207" s="18" t="n">
        <v>46387</v>
      </c>
      <c r="Q207" s="17">
        <f>IF(N207="완료","완료",IF(N207="보류","보류",IF(N207="진행 중",IF(P207&lt;TODAY(),"딜레이","진행중"),IF(P207&lt;TODAY(),"딜레이",IF(TODAY()&gt;=DATE(YEAR(P207),MONTH(P207)-2,1),"임박","예정")))))</f>
        <v/>
      </c>
      <c r="R207" s="19">
        <f>IF(OR(N207="완료",N207="보류"),"-",IF(P207&lt;TODAY(),TODAY()-P207,""))</f>
        <v/>
      </c>
    </row>
    <row r="208" ht="18" customHeight="1">
      <c r="A208" s="14" t="inlineStr">
        <is>
          <t>Settings 1차 (볼륨·전체화면·키 가이드)</t>
        </is>
      </c>
      <c r="B208" s="16" t="n"/>
      <c r="C208" s="20" t="inlineStr">
        <is>
          <t>✓</t>
        </is>
      </c>
      <c r="D208" s="16" t="n"/>
      <c r="E208" s="16" t="n"/>
      <c r="F208" s="16" t="n"/>
      <c r="G208" s="16" t="n"/>
      <c r="H208" s="16" t="n"/>
      <c r="I208" s="16" t="n"/>
      <c r="J208" s="16" t="n"/>
      <c r="K208" s="16" t="n"/>
      <c r="L208" s="16" t="n"/>
      <c r="M208" s="17">
        <f>_xlfn.XLOOKUP(A208,'작업관리'!B:B,'작업관리'!E:E,"")</f>
        <v/>
      </c>
      <c r="N208" s="17">
        <f>_xlfn.XLOOKUP(A208,'작업관리'!B:B,'작업관리'!F:F,"")</f>
        <v/>
      </c>
      <c r="O208" s="17">
        <f>_xlfn.XLOOKUP(A208,'작업관리'!B:B,'작업관리'!G:G,"")</f>
        <v/>
      </c>
      <c r="P208" s="18" t="n">
        <v>46295</v>
      </c>
      <c r="Q208" s="17">
        <f>IF(N208="완료","완료",IF(N208="보류","보류",IF(N208="진행 중",IF(P208&lt;TODAY(),"딜레이","진행중"),IF(P208&lt;TODAY(),"딜레이",IF(TODAY()&gt;=DATE(YEAR(P208),MONTH(P208)-2,1),"임박","예정")))))</f>
        <v/>
      </c>
      <c r="R208" s="19">
        <f>IF(OR(N208="완료",N208="보류"),"-",IF(P208&lt;TODAY(),TODAY()-P208,""))</f>
        <v/>
      </c>
    </row>
    <row r="209" ht="18" customHeight="1">
      <c r="A209" s="14" t="inlineStr">
        <is>
          <t>Settings 2차 (해상도 선택 + 시작 시 적용)</t>
        </is>
      </c>
      <c r="B209" s="16" t="n"/>
      <c r="C209" s="16" t="n"/>
      <c r="D209" s="21" t="inlineStr">
        <is>
          <t>✓</t>
        </is>
      </c>
      <c r="E209" s="16" t="n"/>
      <c r="F209" s="16" t="n"/>
      <c r="G209" s="16" t="n"/>
      <c r="H209" s="16" t="n"/>
      <c r="I209" s="16" t="n"/>
      <c r="J209" s="16" t="n"/>
      <c r="K209" s="16" t="n"/>
      <c r="L209" s="16" t="n"/>
      <c r="M209" s="17">
        <f>_xlfn.XLOOKUP(A209,'작업관리'!B:B,'작업관리'!E:E,"")</f>
        <v/>
      </c>
      <c r="N209" s="17">
        <f>_xlfn.XLOOKUP(A209,'작업관리'!B:B,'작업관리'!F:F,"")</f>
        <v/>
      </c>
      <c r="O209" s="17">
        <f>_xlfn.XLOOKUP(A209,'작업관리'!B:B,'작업관리'!G:G,"")</f>
        <v/>
      </c>
      <c r="P209" s="18" t="n">
        <v>46387</v>
      </c>
      <c r="Q209" s="17">
        <f>IF(N209="완료","완료",IF(N209="보류","보류",IF(N209="진행 중",IF(P209&lt;TODAY(),"딜레이","진행중"),IF(P209&lt;TODAY(),"딜레이",IF(TODAY()&gt;=DATE(YEAR(P209),MONTH(P209)-2,1),"임박","예정")))))</f>
        <v/>
      </c>
      <c r="R209" s="19">
        <f>IF(OR(N209="완료",N209="보류"),"-",IF(P209&lt;TODAY(),TODAY()-P209,""))</f>
        <v/>
      </c>
    </row>
    <row r="210" ht="18" customHeight="1">
      <c r="A210" s="14" t="inlineStr">
        <is>
          <t>로비 ESC 메뉴 + ESC 소유권 통일</t>
        </is>
      </c>
      <c r="B210" s="16" t="n"/>
      <c r="C210" s="16" t="n"/>
      <c r="D210" s="21" t="inlineStr">
        <is>
          <t>✓</t>
        </is>
      </c>
      <c r="E210" s="16" t="n"/>
      <c r="F210" s="16" t="n"/>
      <c r="G210" s="16" t="n"/>
      <c r="H210" s="16" t="n"/>
      <c r="I210" s="16" t="n"/>
      <c r="J210" s="16" t="n"/>
      <c r="K210" s="16" t="n"/>
      <c r="L210" s="16" t="n"/>
      <c r="M210" s="17">
        <f>_xlfn.XLOOKUP(A210,'작업관리'!B:B,'작업관리'!E:E,"")</f>
        <v/>
      </c>
      <c r="N210" s="17">
        <f>_xlfn.XLOOKUP(A210,'작업관리'!B:B,'작업관리'!F:F,"")</f>
        <v/>
      </c>
      <c r="O210" s="17">
        <f>_xlfn.XLOOKUP(A210,'작업관리'!B:B,'작업관리'!G:G,"")</f>
        <v/>
      </c>
      <c r="P210" s="18" t="n">
        <v>46387</v>
      </c>
      <c r="Q210" s="17">
        <f>IF(N210="완료","완료",IF(N210="보류","보류",IF(N210="진행 중",IF(P210&lt;TODAY(),"딜레이","진행중"),IF(P210&lt;TODAY(),"딜레이",IF(TODAY()&gt;=DATE(YEAR(P210),MONTH(P210)-2,1),"임박","예정")))))</f>
        <v/>
      </c>
      <c r="R210" s="19">
        <f>IF(OR(N210="완료",N210="보류"),"-",IF(P210&lt;TODAY(),TODAY()-P210,""))</f>
        <v/>
      </c>
    </row>
    <row r="211" ht="18" customHeight="1">
      <c r="A211" s="14" t="inlineStr">
        <is>
          <t>엔딩 시퀀스 (자막·크레딧·완주 분기)</t>
        </is>
      </c>
      <c r="B211" s="16" t="n"/>
      <c r="C211" s="16" t="n"/>
      <c r="D211" s="21" t="inlineStr">
        <is>
          <t>✓</t>
        </is>
      </c>
      <c r="E211" s="16" t="n"/>
      <c r="F211" s="16" t="n"/>
      <c r="G211" s="16" t="n"/>
      <c r="H211" s="16" t="n"/>
      <c r="I211" s="16" t="n"/>
      <c r="J211" s="16" t="n"/>
      <c r="K211" s="16" t="n"/>
      <c r="L211" s="16" t="n"/>
      <c r="M211" s="17">
        <f>_xlfn.XLOOKUP(A211,'작업관리'!B:B,'작업관리'!E:E,"")</f>
        <v/>
      </c>
      <c r="N211" s="17">
        <f>_xlfn.XLOOKUP(A211,'작업관리'!B:B,'작업관리'!F:F,"")</f>
        <v/>
      </c>
      <c r="O211" s="17">
        <f>_xlfn.XLOOKUP(A211,'작업관리'!B:B,'작업관리'!G:G,"")</f>
        <v/>
      </c>
      <c r="P211" s="18" t="n">
        <v>46387</v>
      </c>
      <c r="Q211" s="17">
        <f>IF(N211="완료","완료",IF(N211="보류","보류",IF(N211="진행 중",IF(P211&lt;TODAY(),"딜레이","진행중"),IF(P211&lt;TODAY(),"딜레이",IF(TODAY()&gt;=DATE(YEAR(P211),MONTH(P211)-2,1),"임박","예정")))))</f>
        <v/>
      </c>
      <c r="R211" s="19">
        <f>IF(OR(N211="완료",N211="보류"),"-",IF(P211&lt;TODAY(),TODAY()-P211,""))</f>
        <v/>
      </c>
    </row>
    <row r="212" ht="18" customHeight="1">
      <c r="A212" s="14" t="inlineStr">
        <is>
          <t>시너지 카운터 HUD</t>
        </is>
      </c>
      <c r="B212" s="16" t="n"/>
      <c r="C212" s="20" t="inlineStr">
        <is>
          <t>✓</t>
        </is>
      </c>
      <c r="D212" s="16" t="n"/>
      <c r="E212" s="16" t="n"/>
      <c r="F212" s="16" t="n"/>
      <c r="G212" s="16" t="n"/>
      <c r="H212" s="16" t="n"/>
      <c r="I212" s="16" t="n"/>
      <c r="J212" s="16" t="n"/>
      <c r="K212" s="16" t="n"/>
      <c r="L212" s="16" t="n"/>
      <c r="M212" s="17">
        <f>_xlfn.XLOOKUP(A212,'작업관리'!B:B,'작업관리'!E:E,"")</f>
        <v/>
      </c>
      <c r="N212" s="17">
        <f>_xlfn.XLOOKUP(A212,'작업관리'!B:B,'작업관리'!F:F,"")</f>
        <v/>
      </c>
      <c r="O212" s="17">
        <f>_xlfn.XLOOKUP(A212,'작업관리'!B:B,'작업관리'!G:G,"")</f>
        <v/>
      </c>
      <c r="P212" s="18" t="n">
        <v>46295</v>
      </c>
      <c r="Q212" s="17">
        <f>IF(N212="완료","완료",IF(N212="보류","보류",IF(N212="진행 중",IF(P212&lt;TODAY(),"딜레이","진행중"),IF(P212&lt;TODAY(),"딜레이",IF(TODAY()&gt;=DATE(YEAR(P212),MONTH(P212)-2,1),"임박","예정")))))</f>
        <v/>
      </c>
      <c r="R212" s="19">
        <f>IF(OR(N212="완료",N212="보류"),"-",IF(P212&lt;TODAY(),TODAY()-P212,""))</f>
        <v/>
      </c>
    </row>
    <row r="213" ht="18" customHeight="1">
      <c r="A213" s="14" t="inlineStr">
        <is>
          <t>골드 카운터 HUD (상시 표시)</t>
        </is>
      </c>
      <c r="B213" s="16" t="n"/>
      <c r="C213" s="16" t="n"/>
      <c r="D213" s="21" t="inlineStr">
        <is>
          <t>✓</t>
        </is>
      </c>
      <c r="E213" s="16" t="n"/>
      <c r="F213" s="16" t="n"/>
      <c r="G213" s="16" t="n"/>
      <c r="H213" s="16" t="n"/>
      <c r="I213" s="16" t="n"/>
      <c r="J213" s="16" t="n"/>
      <c r="K213" s="16" t="n"/>
      <c r="L213" s="16" t="n"/>
      <c r="M213" s="17">
        <f>_xlfn.XLOOKUP(A213,'작업관리'!B:B,'작업관리'!E:E,"")</f>
        <v/>
      </c>
      <c r="N213" s="17">
        <f>_xlfn.XLOOKUP(A213,'작업관리'!B:B,'작업관리'!F:F,"")</f>
        <v/>
      </c>
      <c r="O213" s="17">
        <f>_xlfn.XLOOKUP(A213,'작업관리'!B:B,'작업관리'!G:G,"")</f>
        <v/>
      </c>
      <c r="P213" s="18" t="n">
        <v>46387</v>
      </c>
      <c r="Q213" s="17">
        <f>IF(N213="완료","완료",IF(N213="보류","보류",IF(N213="진행 중",IF(P213&lt;TODAY(),"딜레이","진행중"),IF(P213&lt;TODAY(),"딜레이",IF(TODAY()&gt;=DATE(YEAR(P213),MONTH(P213)-2,1),"임박","예정")))))</f>
        <v/>
      </c>
      <c r="R213" s="19">
        <f>IF(OR(N213="완료",N213="보류"),"-",IF(P213&lt;TODAY(),TODAY()-P213,""))</f>
        <v/>
      </c>
    </row>
    <row r="214" ht="18" customHeight="1">
      <c r="A214" s="14" t="inlineStr">
        <is>
          <t>연소 스택 HUD (최근 대상 표시)</t>
        </is>
      </c>
      <c r="B214" s="16" t="n"/>
      <c r="C214" s="16" t="n"/>
      <c r="D214" s="21" t="inlineStr">
        <is>
          <t>✓</t>
        </is>
      </c>
      <c r="E214" s="16" t="n"/>
      <c r="F214" s="16" t="n"/>
      <c r="G214" s="16" t="n"/>
      <c r="H214" s="16" t="n"/>
      <c r="I214" s="16" t="n"/>
      <c r="J214" s="16" t="n"/>
      <c r="K214" s="16" t="n"/>
      <c r="L214" s="16" t="n"/>
      <c r="M214" s="17">
        <f>_xlfn.XLOOKUP(A214,'작업관리'!B:B,'작업관리'!E:E,"")</f>
        <v/>
      </c>
      <c r="N214" s="17">
        <f>_xlfn.XLOOKUP(A214,'작업관리'!B:B,'작업관리'!F:F,"")</f>
        <v/>
      </c>
      <c r="O214" s="17">
        <f>_xlfn.XLOOKUP(A214,'작업관리'!B:B,'작업관리'!G:G,"")</f>
        <v/>
      </c>
      <c r="P214" s="18" t="n">
        <v>46387</v>
      </c>
      <c r="Q214" s="17">
        <f>IF(N214="완료","완료",IF(N214="보류","보류",IF(N214="진행 중",IF(P214&lt;TODAY(),"딜레이","진행중"),IF(P214&lt;TODAY(),"딜레이",IF(TODAY()&gt;=DATE(YEAR(P214),MONTH(P214)-2,1),"임박","예정")))))</f>
        <v/>
      </c>
      <c r="R214" s="19">
        <f>IF(OR(N214="완료",N214="보류"),"-",IF(P214&lt;TODAY(),TODAY()-P214,""))</f>
        <v/>
      </c>
    </row>
    <row r="215" ht="18" customHeight="1">
      <c r="A215" s="14" t="inlineStr">
        <is>
          <t>UI 정렬 순위 SoT (UiSortingOrder)</t>
        </is>
      </c>
      <c r="B215" s="16" t="n"/>
      <c r="C215" s="16" t="n"/>
      <c r="D215" s="21" t="inlineStr">
        <is>
          <t>✓</t>
        </is>
      </c>
      <c r="E215" s="16" t="n"/>
      <c r="F215" s="16" t="n"/>
      <c r="G215" s="16" t="n"/>
      <c r="H215" s="16" t="n"/>
      <c r="I215" s="16" t="n"/>
      <c r="J215" s="16" t="n"/>
      <c r="K215" s="16" t="n"/>
      <c r="L215" s="16" t="n"/>
      <c r="M215" s="17">
        <f>_xlfn.XLOOKUP(A215,'작업관리'!B:B,'작업관리'!E:E,"")</f>
        <v/>
      </c>
      <c r="N215" s="17">
        <f>_xlfn.XLOOKUP(A215,'작업관리'!B:B,'작업관리'!F:F,"")</f>
        <v/>
      </c>
      <c r="O215" s="17">
        <f>_xlfn.XLOOKUP(A215,'작업관리'!B:B,'작업관리'!G:G,"")</f>
        <v/>
      </c>
      <c r="P215" s="18" t="n">
        <v>46387</v>
      </c>
      <c r="Q215" s="17">
        <f>IF(N215="완료","완료",IF(N215="보류","보류",IF(N215="진행 중",IF(P215&lt;TODAY(),"딜레이","진행중"),IF(P215&lt;TODAY(),"딜레이",IF(TODAY()&gt;=DATE(YEAR(P215),MONTH(P215)-2,1),"임박","예정")))))</f>
        <v/>
      </c>
      <c r="R215" s="19">
        <f>IF(OR(N215="완료",N215="보류"),"-",IF(P215&lt;TODAY(),TODAY()-P215,""))</f>
        <v/>
      </c>
    </row>
    <row r="216" ht="18" customHeight="1">
      <c r="A216" s="14" t="inlineStr">
        <is>
          <t>이벤트 룸 UI (선택 모달)</t>
        </is>
      </c>
      <c r="B216" s="16" t="n"/>
      <c r="C216" s="16" t="n"/>
      <c r="D216" s="21" t="inlineStr">
        <is>
          <t>✓</t>
        </is>
      </c>
      <c r="E216" s="16" t="n"/>
      <c r="F216" s="16" t="n"/>
      <c r="G216" s="16" t="n"/>
      <c r="H216" s="16" t="n"/>
      <c r="I216" s="16" t="n"/>
      <c r="J216" s="16" t="n"/>
      <c r="K216" s="16" t="n"/>
      <c r="L216" s="16" t="n"/>
      <c r="M216" s="17">
        <f>_xlfn.XLOOKUP(A216,'작업관리'!B:B,'작업관리'!E:E,"")</f>
        <v/>
      </c>
      <c r="N216" s="17">
        <f>_xlfn.XLOOKUP(A216,'작업관리'!B:B,'작업관리'!F:F,"")</f>
        <v/>
      </c>
      <c r="O216" s="17">
        <f>_xlfn.XLOOKUP(A216,'작업관리'!B:B,'작업관리'!G:G,"")</f>
        <v/>
      </c>
      <c r="P216" s="18" t="n">
        <v>46387</v>
      </c>
      <c r="Q216" s="17">
        <f>IF(N216="완료","완료",IF(N216="보류","보류",IF(N216="진행 중",IF(P216&lt;TODAY(),"딜레이","진행중"),IF(P216&lt;TODAY(),"딜레이",IF(TODAY()&gt;=DATE(YEAR(P216),MONTH(P216)-2,1),"임박","예정")))))</f>
        <v/>
      </c>
      <c r="R216" s="19">
        <f>IF(OR(N216="완료",N216="보류"),"-",IF(P216&lt;TODAY(),TODAY()-P216,""))</f>
        <v/>
      </c>
    </row>
    <row r="217" ht="18" customHeight="1">
      <c r="A217" s="14" t="inlineStr">
        <is>
          <t>상점 룸 UI (진열·재고·구매)</t>
        </is>
      </c>
      <c r="B217" s="16" t="n"/>
      <c r="C217" s="16" t="n"/>
      <c r="D217" s="21" t="inlineStr">
        <is>
          <t>✓</t>
        </is>
      </c>
      <c r="E217" s="16" t="n"/>
      <c r="F217" s="16" t="n"/>
      <c r="G217" s="16" t="n"/>
      <c r="H217" s="16" t="n"/>
      <c r="I217" s="16" t="n"/>
      <c r="J217" s="16" t="n"/>
      <c r="K217" s="16" t="n"/>
      <c r="L217" s="16" t="n"/>
      <c r="M217" s="17">
        <f>_xlfn.XLOOKUP(A217,'작업관리'!B:B,'작업관리'!E:E,"")</f>
        <v/>
      </c>
      <c r="N217" s="17">
        <f>_xlfn.XLOOKUP(A217,'작업관리'!B:B,'작업관리'!F:F,"")</f>
        <v/>
      </c>
      <c r="O217" s="17">
        <f>_xlfn.XLOOKUP(A217,'작업관리'!B:B,'작업관리'!G:G,"")</f>
        <v/>
      </c>
      <c r="P217" s="18" t="n">
        <v>46387</v>
      </c>
      <c r="Q217" s="17">
        <f>IF(N217="완료","완료",IF(N217="보류","보류",IF(N217="진행 중",IF(P217&lt;TODAY(),"딜레이","진행중"),IF(P217&lt;TODAY(),"딜레이",IF(TODAY()&gt;=DATE(YEAR(P217),MONTH(P217)-2,1),"임박","예정")))))</f>
        <v/>
      </c>
      <c r="R217" s="19">
        <f>IF(OR(N217="완료",N217="보류"),"-",IF(P217&lt;TODAY(),TODAY()-P217,""))</f>
        <v/>
      </c>
    </row>
    <row r="218" ht="18" customHeight="1">
      <c r="A218" s="14" t="inlineStr">
        <is>
          <t>유물 좌판 UI (감정·보유 그리드·장착 슬롯)</t>
        </is>
      </c>
      <c r="B218" s="16" t="n"/>
      <c r="C218" s="16" t="n"/>
      <c r="D218" s="21" t="inlineStr">
        <is>
          <t>✓</t>
        </is>
      </c>
      <c r="E218" s="16" t="n"/>
      <c r="F218" s="16" t="n"/>
      <c r="G218" s="16" t="n"/>
      <c r="H218" s="16" t="n"/>
      <c r="I218" s="16" t="n"/>
      <c r="J218" s="16" t="n"/>
      <c r="K218" s="16" t="n"/>
      <c r="L218" s="16" t="n"/>
      <c r="M218" s="17">
        <f>_xlfn.XLOOKUP(A218,'작업관리'!B:B,'작업관리'!E:E,"")</f>
        <v/>
      </c>
      <c r="N218" s="17">
        <f>_xlfn.XLOOKUP(A218,'작업관리'!B:B,'작업관리'!F:F,"")</f>
        <v/>
      </c>
      <c r="O218" s="17">
        <f>_xlfn.XLOOKUP(A218,'작업관리'!B:B,'작업관리'!G:G,"")</f>
        <v/>
      </c>
      <c r="P218" s="18" t="n">
        <v>46387</v>
      </c>
      <c r="Q218" s="17">
        <f>IF(N218="완료","완료",IF(N218="보류","보류",IF(N218="진행 중",IF(P218&lt;TODAY(),"딜레이","진행중"),IF(P218&lt;TODAY(),"딜레이",IF(TODAY()&gt;=DATE(YEAR(P218),MONTH(P218)-2,1),"임박","예정")))))</f>
        <v/>
      </c>
      <c r="R218" s="19">
        <f>IF(OR(N218="완료",N218="보류"),"-",IF(P218&lt;TODAY(),TODAY()-P218,""))</f>
        <v/>
      </c>
    </row>
    <row r="219" ht="18" customHeight="1">
      <c r="A219" s="14" t="inlineStr">
        <is>
          <t>노드 맵 UI</t>
        </is>
      </c>
      <c r="B219" s="16" t="n"/>
      <c r="C219" s="16" t="n"/>
      <c r="D219" s="21" t="inlineStr">
        <is>
          <t>✓</t>
        </is>
      </c>
      <c r="E219" s="16" t="n"/>
      <c r="F219" s="16" t="n"/>
      <c r="G219" s="16" t="n"/>
      <c r="H219" s="16" t="n"/>
      <c r="I219" s="16" t="n"/>
      <c r="J219" s="16" t="n"/>
      <c r="K219" s="16" t="n"/>
      <c r="L219" s="16" t="n"/>
      <c r="M219" s="17">
        <f>_xlfn.XLOOKUP(A219,'작업관리'!B:B,'작업관리'!E:E,"")</f>
        <v/>
      </c>
      <c r="N219" s="17">
        <f>_xlfn.XLOOKUP(A219,'작업관리'!B:B,'작업관리'!F:F,"")</f>
        <v/>
      </c>
      <c r="O219" s="17">
        <f>_xlfn.XLOOKUP(A219,'작업관리'!B:B,'작업관리'!G:G,"")</f>
        <v/>
      </c>
      <c r="P219" s="18" t="n">
        <v>46387</v>
      </c>
      <c r="Q219" s="17">
        <f>IF(N219="완료","완료",IF(N219="보류","보류",IF(N219="진행 중",IF(P219&lt;TODAY(),"딜레이","진행중"),IF(P219&lt;TODAY(),"딜레이",IF(TODAY()&gt;=DATE(YEAR(P219),MONTH(P219)-2,1),"임박","예정")))))</f>
        <v/>
      </c>
      <c r="R219" s="19">
        <f>IF(OR(N219="완료",N219="보류"),"-",IF(P219&lt;TODAY(),TODAY()-P219,""))</f>
        <v/>
      </c>
    </row>
    <row r="220" ht="18" customHeight="1">
      <c r="A220" s="14" t="inlineStr">
        <is>
          <t>드래프트 Layer 2 호버 상세</t>
        </is>
      </c>
      <c r="B220" s="16" t="n"/>
      <c r="C220" s="16" t="n"/>
      <c r="D220" s="16" t="n"/>
      <c r="E220" s="30" t="inlineStr">
        <is>
          <t>호버·키보드/패드 포커스 상세 구현·정적 인수 · 사용자 검증대기 (2026-10-04)</t>
        </is>
      </c>
      <c r="F220" s="16" t="n"/>
      <c r="G220" s="16" t="n"/>
      <c r="H220" s="16" t="n"/>
      <c r="I220" s="16" t="n"/>
      <c r="J220" s="16" t="n"/>
      <c r="K220" s="16" t="n"/>
      <c r="L220" s="16" t="n"/>
      <c r="M220" s="17">
        <f>_xlfn.XLOOKUP(A220,'작업관리'!B:B,'작업관리'!E:E,"")</f>
        <v/>
      </c>
      <c r="N220" s="17">
        <f>_xlfn.XLOOKUP(A220,'작업관리'!B:B,'작업관리'!F:F,"")</f>
        <v/>
      </c>
      <c r="O220" s="17">
        <f>_xlfn.XLOOKUP(A220,'작업관리'!B:B,'작업관리'!G:G,"")</f>
        <v/>
      </c>
      <c r="P220" s="18" t="n">
        <v>46477</v>
      </c>
      <c r="Q220" s="17">
        <f>IF(N220="완료","완료",IF(N220="보류","보류",IF(N220="진행 중",IF(P220&lt;TODAY(),"딜레이","진행중"),IF(P220&lt;TODAY(),"딜레이",IF(TODAY()&gt;=DATE(YEAR(P220),MONTH(P220)-2,1),"임박","예정")))))</f>
        <v/>
      </c>
      <c r="R220" s="19">
        <f>IF(OR(N220="완료",N220="보류"),"-",IF(P220&lt;TODAY(),TODAY()-P220,""))</f>
        <v/>
      </c>
    </row>
    <row r="221" ht="18" customHeight="1">
      <c r="A221" s="14" t="inlineStr">
        <is>
          <t>메타 상점 UI</t>
        </is>
      </c>
      <c r="B221" s="16" t="n"/>
      <c r="C221" s="16" t="n"/>
      <c r="D221" s="16" t="n"/>
      <c r="E221" s="22" t="n"/>
      <c r="F221" s="23" t="n"/>
      <c r="G221" s="40" t="n"/>
      <c r="H221" s="16" t="n"/>
      <c r="I221" s="16" t="n"/>
      <c r="J221" s="16" t="n"/>
      <c r="K221" s="16" t="n"/>
      <c r="L221" s="16" t="n"/>
      <c r="M221" s="17">
        <f>_xlfn.XLOOKUP(A221,'작업관리'!B:B,'작업관리'!E:E,"")</f>
        <v/>
      </c>
      <c r="N221" s="17">
        <f>_xlfn.XLOOKUP(A221,'작업관리'!B:B,'작업관리'!F:F,"")</f>
        <v/>
      </c>
      <c r="O221" s="17">
        <f>_xlfn.XLOOKUP(A221,'작업관리'!B:B,'작업관리'!G:G,"")</f>
        <v/>
      </c>
      <c r="P221" s="18" t="n">
        <v>46660</v>
      </c>
      <c r="Q221" s="17">
        <f>IF(N221="완료","완료",IF(N221="보류","보류",IF(N221="진행 중",IF(P221&lt;TODAY(),"딜레이","진행중"),IF(P221&lt;TODAY(),"딜레이",IF(TODAY()&gt;=DATE(YEAR(P221),MONTH(P221)-2,1),"임박","예정")))))</f>
        <v/>
      </c>
      <c r="R221" s="19">
        <f>IF(OR(N221="완료",N221="보류"),"-",IF(P221&lt;TODAY(),TODAY()-P221,""))</f>
        <v/>
      </c>
    </row>
    <row r="222" ht="18" customHeight="1">
      <c r="A222" s="14" t="inlineStr">
        <is>
          <t>도감 UI (6탭: 폼·스킬·적·보스·유물·기록) + Codex 인게임 진입</t>
        </is>
      </c>
      <c r="B222" s="16" t="n"/>
      <c r="C222" s="16" t="n"/>
      <c r="D222" s="21" t="inlineStr">
        <is>
          <t>✓</t>
        </is>
      </c>
      <c r="E222" s="16" t="n"/>
      <c r="F222" s="16" t="n"/>
      <c r="G222" s="16" t="n"/>
      <c r="H222" s="16" t="n"/>
      <c r="I222" s="16" t="n"/>
      <c r="J222" s="16" t="n"/>
      <c r="K222" s="16" t="n"/>
      <c r="L222" s="16" t="n"/>
      <c r="M222" s="17">
        <f>_xlfn.XLOOKUP(A222,'작업관리'!B:B,'작업관리'!E:E,"")</f>
        <v/>
      </c>
      <c r="N222" s="17">
        <f>_xlfn.XLOOKUP(A222,'작업관리'!B:B,'작업관리'!F:F,"")</f>
        <v/>
      </c>
      <c r="O222" s="17">
        <f>_xlfn.XLOOKUP(A222,'작업관리'!B:B,'작업관리'!G:G,"")</f>
        <v/>
      </c>
      <c r="P222" s="18" t="n">
        <v>46387</v>
      </c>
      <c r="Q222" s="17">
        <f>IF(N222="완료","완료",IF(N222="보류","보류",IF(N222="진행 중",IF(P222&lt;TODAY(),"딜레이","진행중"),IF(P222&lt;TODAY(),"딜레이",IF(TODAY()&gt;=DATE(YEAR(P222),MONTH(P222)-2,1),"임박","예정")))))</f>
        <v/>
      </c>
      <c r="R222" s="19">
        <f>IF(OR(N222="완료",N222="보류"),"-",IF(P222&lt;TODAY(),TODAY()-P222,""))</f>
        <v/>
      </c>
    </row>
    <row r="223" ht="18" customHeight="1">
      <c r="A223" s="14" t="inlineStr">
        <is>
          <t>기본 키 변경·패드 완주 (데모 전 필수 · P12)</t>
        </is>
      </c>
      <c r="B223" s="16" t="n"/>
      <c r="C223" s="16" t="n"/>
      <c r="D223" s="16" t="n"/>
      <c r="E223" s="16" t="n"/>
      <c r="F223" s="31" t="inlineStr">
        <is>
          <t>패드 메뉴·NPC·상점·제단·폼/스킬교체·이벤트·방경로 정적 인수 · 사용자 검증대기 · 키 변경 UI/전체 완주 미완 (2026-10-06)</t>
        </is>
      </c>
      <c r="G223" s="16" t="n"/>
      <c r="H223" s="16" t="n"/>
      <c r="I223" s="16" t="n"/>
      <c r="J223" s="16" t="n"/>
      <c r="K223" s="16" t="n"/>
      <c r="L223" s="16" t="n"/>
      <c r="M223" s="17">
        <f>_xlfn.XLOOKUP(A223,'작업관리'!B:B,'작업관리'!E:E,"")</f>
        <v/>
      </c>
      <c r="N223" s="17">
        <f>_xlfn.XLOOKUP(A223,'작업관리'!B:B,'작업관리'!F:F,"")</f>
        <v/>
      </c>
      <c r="O223" s="17">
        <f>_xlfn.XLOOKUP(A223,'작업관리'!B:B,'작업관리'!G:G,"")</f>
        <v/>
      </c>
      <c r="P223" s="18" t="n">
        <v>46568</v>
      </c>
      <c r="Q223" s="17">
        <f>IF(N223="완료","완료",IF(N223="보류","보류",IF(N223="진행 중",IF(P223&lt;TODAY(),"딜레이","진행중"),IF(P223&lt;TODAY(),"딜레이",IF(TODAY()&gt;=DATE(YEAR(P223),MONTH(P223)-2,1),"임박","예정")))))</f>
        <v/>
      </c>
      <c r="R223" s="19">
        <f>IF(OR(N223="완료",N223="보류"),"-",IF(P223&lt;TODAY(),TODAY()-P223,""))</f>
        <v/>
      </c>
    </row>
    <row r="224" ht="18" customHeight="1">
      <c r="A224" s="14" t="inlineStr">
        <is>
          <t>업적 UI</t>
        </is>
      </c>
      <c r="B224" s="16" t="n"/>
      <c r="C224" s="16" t="n"/>
      <c r="D224" s="16" t="n"/>
      <c r="E224" s="16" t="n"/>
      <c r="F224" s="16" t="n"/>
      <c r="G224" s="40" t="n"/>
      <c r="H224" s="16" t="n"/>
      <c r="I224" s="16" t="n"/>
      <c r="J224" s="16" t="n"/>
      <c r="K224" s="16" t="n"/>
      <c r="L224" s="16" t="n"/>
      <c r="M224" s="17">
        <f>_xlfn.XLOOKUP(A224,'작업관리'!B:B,'작업관리'!E:E,"")</f>
        <v/>
      </c>
      <c r="N224" s="17">
        <f>_xlfn.XLOOKUP(A224,'작업관리'!B:B,'작업관리'!F:F,"")</f>
        <v/>
      </c>
      <c r="O224" s="17">
        <f>_xlfn.XLOOKUP(A224,'작업관리'!B:B,'작업관리'!G:G,"")</f>
        <v/>
      </c>
      <c r="P224" s="18" t="n">
        <v>46660</v>
      </c>
      <c r="Q224" s="17">
        <f>IF(N224="완료","완료",IF(N224="보류","보류",IF(N224="진행 중",IF(P224&lt;TODAY(),"딜레이","진행중"),IF(P224&lt;TODAY(),"딜레이",IF(TODAY()&gt;=DATE(YEAR(P224),MONTH(P224)-2,1),"임박","예정")))))</f>
        <v/>
      </c>
      <c r="R224" s="19">
        <f>IF(OR(N224="완료",N224="보류"),"-",IF(P224&lt;TODAY(),TODAY()-P224,""))</f>
        <v/>
      </c>
    </row>
    <row r="225" ht="18" customHeight="1">
      <c r="A225" s="14" t="inlineStr">
        <is>
          <t>난이도 선택 UI</t>
        </is>
      </c>
      <c r="B225" s="16" t="n"/>
      <c r="C225" s="16" t="n"/>
      <c r="D225" s="16" t="n"/>
      <c r="E225" s="16" t="n"/>
      <c r="F225" s="16" t="n"/>
      <c r="G225" s="16" t="n"/>
      <c r="H225" s="16" t="n"/>
      <c r="I225" s="16" t="n"/>
      <c r="J225" s="24" t="n"/>
      <c r="K225" s="16" t="n"/>
      <c r="L225" s="16" t="n"/>
      <c r="M225" s="17">
        <f>_xlfn.XLOOKUP(A225,'작업관리'!B:B,'작업관리'!E:E,"")</f>
        <v/>
      </c>
      <c r="N225" s="17">
        <f>_xlfn.XLOOKUP(A225,'작업관리'!B:B,'작업관리'!F:F,"")</f>
        <v/>
      </c>
      <c r="O225" s="17">
        <f>_xlfn.XLOOKUP(A225,'작업관리'!B:B,'작업관리'!G:G,"")</f>
        <v/>
      </c>
      <c r="P225" s="18" t="n">
        <v>46934</v>
      </c>
      <c r="Q225" s="17">
        <f>IF(N225="완료","완료",IF(N225="보류","보류",IF(N225="진행 중",IF(P225&lt;TODAY(),"딜레이","진행중"),IF(P225&lt;TODAY(),"딜레이",IF(TODAY()&gt;=DATE(YEAR(P225),MONTH(P225)-2,1),"임박","예정")))))</f>
        <v/>
      </c>
      <c r="R225" s="19">
        <f>IF(OR(N225="완료",N225="보류"),"-",IF(P225&lt;TODAY(),TODAY()-P225,""))</f>
        <v/>
      </c>
    </row>
    <row r="226" ht="18" customHeight="1">
      <c r="A226" s="14" t="inlineStr">
        <is>
          <t>기본 접근성 데모 전 / 추가 옵션 정식판 (P12·P19)</t>
        </is>
      </c>
      <c r="B226" s="16" t="n"/>
      <c r="C226" s="16" t="n"/>
      <c r="D226" s="16" t="n"/>
      <c r="E226" s="16" t="n"/>
      <c r="F226" s="16" t="n"/>
      <c r="G226" s="16" t="n"/>
      <c r="H226" s="16" t="n"/>
      <c r="I226" s="16" t="n"/>
      <c r="J226" s="24" t="n"/>
      <c r="K226" s="16" t="n"/>
      <c r="L226" s="16" t="n"/>
      <c r="M226" s="17">
        <f>_xlfn.XLOOKUP(A226,'작업관리'!B:B,'작업관리'!E:E,"")</f>
        <v/>
      </c>
      <c r="N226" s="17">
        <f>_xlfn.XLOOKUP(A226,'작업관리'!B:B,'작업관리'!F:F,"")</f>
        <v/>
      </c>
      <c r="O226" s="17">
        <f>_xlfn.XLOOKUP(A226,'작업관리'!B:B,'작업관리'!G:G,"")</f>
        <v/>
      </c>
      <c r="P226" s="18" t="n">
        <v>46934</v>
      </c>
      <c r="Q226" s="17">
        <f>IF(N226="완료","완료",IF(N226="보류","보류",IF(N226="진행 중",IF(P226&lt;TODAY(),"딜레이","진행중"),IF(P226&lt;TODAY(),"딜레이",IF(TODAY()&gt;=DATE(YEAR(P226),MONTH(P226)-2,1),"임박","예정")))))</f>
        <v/>
      </c>
      <c r="R226" s="19">
        <f>IF(OR(N226="완료",N226="보류"),"-",IF(P226&lt;TODAY(),TODAY()-P226,""))</f>
        <v/>
      </c>
    </row>
    <row r="227" ht="18" customHeight="1">
      <c r="A227" s="14" t="inlineStr">
        <is>
          <t>키 리바인딩 풀 (UI·Global 포함)</t>
        </is>
      </c>
      <c r="B227" s="16" t="n"/>
      <c r="C227" s="16" t="n"/>
      <c r="D227" s="16" t="n"/>
      <c r="E227" s="16" t="n"/>
      <c r="F227" s="16" t="n"/>
      <c r="G227" s="16" t="n"/>
      <c r="H227" s="16" t="n"/>
      <c r="I227" s="16" t="n"/>
      <c r="J227" s="24" t="n"/>
      <c r="K227" s="16" t="n"/>
      <c r="L227" s="16" t="n"/>
      <c r="M227" s="17">
        <f>_xlfn.XLOOKUP(A227,'작업관리'!B:B,'작업관리'!E:E,"")</f>
        <v/>
      </c>
      <c r="N227" s="17">
        <f>_xlfn.XLOOKUP(A227,'작업관리'!B:B,'작업관리'!F:F,"")</f>
        <v/>
      </c>
      <c r="O227" s="17">
        <f>_xlfn.XLOOKUP(A227,'작업관리'!B:B,'작업관리'!G:G,"")</f>
        <v/>
      </c>
      <c r="P227" s="18" t="n">
        <v>46934</v>
      </c>
      <c r="Q227" s="17">
        <f>IF(N227="완료","완료",IF(N227="보류","보류",IF(N227="진행 중",IF(P227&lt;TODAY(),"딜레이","진행중"),IF(P227&lt;TODAY(),"딜레이",IF(TODAY()&gt;=DATE(YEAR(P227),MONTH(P227)-2,1),"임박","예정")))))</f>
        <v/>
      </c>
      <c r="R227" s="19">
        <f>IF(OR(N227="완료",N227="보류"),"-",IF(P227&lt;TODAY(),TODAY()-P227,""))</f>
        <v/>
      </c>
    </row>
    <row r="228" ht="18" customHeight="1">
      <c r="A228" s="14" t="inlineStr">
        <is>
          <t>언어 선택 UI</t>
        </is>
      </c>
      <c r="B228" s="16" t="n"/>
      <c r="C228" s="16" t="n"/>
      <c r="D228" s="21" t="inlineStr">
        <is>
          <t>✓</t>
        </is>
      </c>
      <c r="E228" s="16" t="n"/>
      <c r="F228" s="16" t="n"/>
      <c r="G228" s="16" t="n"/>
      <c r="H228" s="16" t="n"/>
      <c r="I228" s="16" t="n"/>
      <c r="J228" s="16" t="n"/>
      <c r="K228" s="16" t="n"/>
      <c r="L228" s="16" t="n"/>
      <c r="M228" s="17">
        <f>_xlfn.XLOOKUP(A228,'작업관리'!B:B,'작업관리'!E:E,"")</f>
        <v/>
      </c>
      <c r="N228" s="17">
        <f>_xlfn.XLOOKUP(A228,'작업관리'!B:B,'작업관리'!F:F,"")</f>
        <v/>
      </c>
      <c r="O228" s="17">
        <f>_xlfn.XLOOKUP(A228,'작업관리'!B:B,'작업관리'!G:G,"")</f>
        <v/>
      </c>
      <c r="P228" s="18" t="n">
        <v>46387</v>
      </c>
      <c r="Q228" s="17">
        <f>IF(N228="완료","완료",IF(N228="보류","보류",IF(N228="진행 중",IF(P228&lt;TODAY(),"딜레이","진행중"),IF(P228&lt;TODAY(),"딜레이",IF(TODAY()&gt;=DATE(YEAR(P228),MONTH(P228)-2,1),"임박","예정")))))</f>
        <v/>
      </c>
      <c r="R228" s="19">
        <f>IF(OR(N228="완료",N228="보류"),"-",IF(P228&lt;TODAY(),TODAY()-P228,""))</f>
        <v/>
      </c>
    </row>
    <row r="229" ht="18" customHeight="1">
      <c r="A229" s="14" t="inlineStr">
        <is>
          <t>다중 엔딩 갤러리 UI</t>
        </is>
      </c>
      <c r="B229" s="16" t="n"/>
      <c r="C229" s="16" t="n"/>
      <c r="D229" s="16" t="n"/>
      <c r="E229" s="16" t="n"/>
      <c r="F229" s="16" t="n"/>
      <c r="G229" s="16" t="n"/>
      <c r="H229" s="16" t="n"/>
      <c r="I229" s="16" t="n"/>
      <c r="J229" s="16" t="n"/>
      <c r="K229" s="16" t="n"/>
      <c r="L229" s="41" t="n"/>
      <c r="M229" s="17">
        <f>_xlfn.XLOOKUP(A229,'작업관리'!B:B,'작업관리'!E:E,"")</f>
        <v/>
      </c>
      <c r="N229" s="17">
        <f>_xlfn.XLOOKUP(A229,'작업관리'!B:B,'작업관리'!F:F,"")</f>
        <v/>
      </c>
      <c r="O229" s="17">
        <f>_xlfn.XLOOKUP(A229,'작업관리'!B:B,'작업관리'!G:G,"")</f>
        <v/>
      </c>
      <c r="P229" s="18" t="n">
        <v>47118</v>
      </c>
      <c r="Q229" s="17">
        <f>IF(N229="완료","완료",IF(N229="보류","보류",IF(N229="진행 중",IF(P229&lt;TODAY(),"딜레이","진행중"),IF(P229&lt;TODAY(),"딜레이",IF(TODAY()&gt;=DATE(YEAR(P229),MONTH(P229)-2,1),"임박","예정")))))</f>
        <v/>
      </c>
      <c r="R229" s="19">
        <f>IF(OR(N229="완료",N229="보류"),"-",IF(P229&lt;TODAY(),TODAY()-P229,""))</f>
        <v/>
      </c>
    </row>
    <row r="230" ht="18" customHeight="1">
      <c r="A230" s="14" t="inlineStr">
        <is>
          <t>매주 도전 UI + 리더보드</t>
        </is>
      </c>
      <c r="B230" s="16" t="n"/>
      <c r="C230" s="16" t="n"/>
      <c r="D230" s="16" t="n"/>
      <c r="E230" s="16" t="n"/>
      <c r="F230" s="16" t="n"/>
      <c r="G230" s="16" t="n"/>
      <c r="H230" s="16" t="n"/>
      <c r="I230" s="16" t="n"/>
      <c r="J230" s="16" t="n"/>
      <c r="K230" s="16" t="n"/>
      <c r="L230" s="41" t="n"/>
      <c r="M230" s="17">
        <f>_xlfn.XLOOKUP(A230,'작업관리'!B:B,'작업관리'!E:E,"")</f>
        <v/>
      </c>
      <c r="N230" s="17">
        <f>_xlfn.XLOOKUP(A230,'작업관리'!B:B,'작업관리'!F:F,"")</f>
        <v/>
      </c>
      <c r="O230" s="17">
        <f>_xlfn.XLOOKUP(A230,'작업관리'!B:B,'작업관리'!G:G,"")</f>
        <v/>
      </c>
      <c r="P230" s="18" t="n">
        <v>47118</v>
      </c>
      <c r="Q230" s="17">
        <f>IF(N230="완료","완료",IF(N230="보류","보류",IF(N230="진행 중",IF(P230&lt;TODAY(),"딜레이","진행중"),IF(P230&lt;TODAY(),"딜레이",IF(TODAY()&gt;=DATE(YEAR(P230),MONTH(P230)-2,1),"임박","예정")))))</f>
        <v/>
      </c>
      <c r="R230" s="19">
        <f>IF(OR(N230="완료",N230="보류"),"-",IF(P230&lt;TODAY(),TODAY()-P230,""))</f>
        <v/>
      </c>
    </row>
    <row r="231" ht="20" customHeight="1">
      <c r="A231" s="13" t="inlineStr">
        <is>
          <t>시스템·인프라 (Systems &amp; Infra) ↗ (문서 열기)</t>
        </is>
      </c>
    </row>
    <row r="232" ht="18" customHeight="1">
      <c r="A232" s="14" t="inlineStr">
        <is>
          <t>Audio System (AudioMixer + BGM/SFX Manager)</t>
        </is>
      </c>
      <c r="B232" s="15" t="inlineStr">
        <is>
          <t>✓</t>
        </is>
      </c>
      <c r="C232" s="16" t="n"/>
      <c r="D232" s="16" t="n"/>
      <c r="E232" s="16" t="n"/>
      <c r="F232" s="16" t="n"/>
      <c r="G232" s="16" t="n"/>
      <c r="H232" s="16" t="n"/>
      <c r="I232" s="16" t="n"/>
      <c r="J232" s="16" t="n"/>
      <c r="K232" s="16" t="n"/>
      <c r="L232" s="16" t="n"/>
      <c r="M232" s="17">
        <f>_xlfn.XLOOKUP(A232,'작업관리'!B:B,'작업관리'!E:E,"")</f>
        <v/>
      </c>
      <c r="N232" s="17">
        <f>_xlfn.XLOOKUP(A232,'작업관리'!B:B,'작업관리'!F:F,"")</f>
        <v/>
      </c>
      <c r="O232" s="17">
        <f>_xlfn.XLOOKUP(A232,'작업관리'!B:B,'작업관리'!G:G,"")</f>
        <v/>
      </c>
      <c r="P232" s="18" t="n">
        <v>46203</v>
      </c>
      <c r="Q232" s="17">
        <f>IF(N232="완료","완료",IF(N232="보류","보류",IF(N232="진행 중",IF(P232&lt;TODAY(),"딜레이","진행중"),IF(P232&lt;TODAY(),"딜레이",IF(TODAY()&gt;=DATE(YEAR(P232),MONTH(P232)-2,1),"임박","예정")))))</f>
        <v/>
      </c>
      <c r="R232" s="19">
        <f>IF(OR(N232="완료",N232="보류"),"-",IF(P232&lt;TODAY(),TODAY()-P232,""))</f>
        <v/>
      </c>
    </row>
    <row r="233" ht="18" customHeight="1">
      <c r="A233" s="14" t="inlineStr">
        <is>
          <t>Localization 뼈대 (KR/EN/JA CSV + StringKey)</t>
        </is>
      </c>
      <c r="B233" s="15" t="inlineStr">
        <is>
          <t>✓</t>
        </is>
      </c>
      <c r="C233" s="16" t="n"/>
      <c r="D233" s="16" t="n"/>
      <c r="E233" s="16" t="n"/>
      <c r="F233" s="16" t="n"/>
      <c r="G233" s="16" t="n"/>
      <c r="H233" s="16" t="n"/>
      <c r="I233" s="16" t="n"/>
      <c r="J233" s="16" t="n"/>
      <c r="K233" s="16" t="n"/>
      <c r="L233" s="16" t="n"/>
      <c r="M233" s="17">
        <f>_xlfn.XLOOKUP(A233,'작업관리'!B:B,'작업관리'!E:E,"")</f>
        <v/>
      </c>
      <c r="N233" s="17">
        <f>_xlfn.XLOOKUP(A233,'작업관리'!B:B,'작업관리'!F:F,"")</f>
        <v/>
      </c>
      <c r="O233" s="17">
        <f>_xlfn.XLOOKUP(A233,'작업관리'!B:B,'작업관리'!G:G,"")</f>
        <v/>
      </c>
      <c r="P233" s="18" t="n">
        <v>46203</v>
      </c>
      <c r="Q233" s="17">
        <f>IF(N233="완료","완료",IF(N233="보류","보류",IF(N233="진행 중",IF(P233&lt;TODAY(),"딜레이","진행중"),IF(P233&lt;TODAY(),"딜레이",IF(TODAY()&gt;=DATE(YEAR(P233),MONTH(P233)-2,1),"임박","예정")))))</f>
        <v/>
      </c>
      <c r="R233" s="19">
        <f>IF(OR(N233="완료",N233="보류"),"-",IF(P233&lt;TODAY(),TODAY()-P233,""))</f>
        <v/>
      </c>
    </row>
    <row r="234" ht="18" customHeight="1">
      <c r="A234" s="14" t="inlineStr">
        <is>
          <t>멀티스테이지 진행 (StageSequenceData + StageDirector)</t>
        </is>
      </c>
      <c r="B234" s="15" t="inlineStr">
        <is>
          <t>✓</t>
        </is>
      </c>
      <c r="C234" s="16" t="n"/>
      <c r="D234" s="16" t="n"/>
      <c r="E234" s="16" t="n"/>
      <c r="F234" s="16" t="n"/>
      <c r="G234" s="16" t="n"/>
      <c r="H234" s="16" t="n"/>
      <c r="I234" s="16" t="n"/>
      <c r="J234" s="16" t="n"/>
      <c r="K234" s="16" t="n"/>
      <c r="L234" s="16" t="n"/>
      <c r="M234" s="17">
        <f>_xlfn.XLOOKUP(A234,'작업관리'!B:B,'작업관리'!E:E,"")</f>
        <v/>
      </c>
      <c r="N234" s="17">
        <f>_xlfn.XLOOKUP(A234,'작업관리'!B:B,'작업관리'!F:F,"")</f>
        <v/>
      </c>
      <c r="O234" s="17">
        <f>_xlfn.XLOOKUP(A234,'작업관리'!B:B,'작업관리'!G:G,"")</f>
        <v/>
      </c>
      <c r="P234" s="18" t="n">
        <v>46203</v>
      </c>
      <c r="Q234" s="17">
        <f>IF(N234="완료","완료",IF(N234="보류","보류",IF(N234="진행 중",IF(P234&lt;TODAY(),"딜레이","진행중"),IF(P234&lt;TODAY(),"딜레이",IF(TODAY()&gt;=DATE(YEAR(P234),MONTH(P234)-2,1),"임박","예정")))))</f>
        <v/>
      </c>
      <c r="R234" s="19">
        <f>IF(OR(N234="완료",N234="보류"),"-",IF(P234&lt;TODAY(),TODAY()-P234,""))</f>
        <v/>
      </c>
    </row>
    <row r="235" ht="18" customHeight="1">
      <c r="A235" s="14" t="inlineStr">
        <is>
          <t>GAS 스킬 통합 (GenericAbility + Skill1/2 입력 + 쿨다운 HUD + 폼별 로드아웃 + 치트)</t>
        </is>
      </c>
      <c r="B235" s="15" t="inlineStr">
        <is>
          <t>✓</t>
        </is>
      </c>
      <c r="C235" s="16" t="n"/>
      <c r="D235" s="16" t="n"/>
      <c r="E235" s="16" t="n"/>
      <c r="F235" s="16" t="n"/>
      <c r="G235" s="16" t="n"/>
      <c r="H235" s="16" t="n"/>
      <c r="I235" s="16" t="n"/>
      <c r="J235" s="16" t="n"/>
      <c r="K235" s="16" t="n"/>
      <c r="L235" s="16" t="n"/>
      <c r="M235" s="17">
        <f>_xlfn.XLOOKUP(A235,'작업관리'!B:B,'작업관리'!E:E,"")</f>
        <v/>
      </c>
      <c r="N235" s="17">
        <f>_xlfn.XLOOKUP(A235,'작업관리'!B:B,'작업관리'!F:F,"")</f>
        <v/>
      </c>
      <c r="O235" s="17">
        <f>_xlfn.XLOOKUP(A235,'작업관리'!B:B,'작업관리'!G:G,"")</f>
        <v/>
      </c>
      <c r="P235" s="18" t="n">
        <v>46203</v>
      </c>
      <c r="Q235" s="17">
        <f>IF(N235="완료","완료",IF(N235="보류","보류",IF(N235="진행 중",IF(P235&lt;TODAY(),"딜레이","진행중"),IF(P235&lt;TODAY(),"딜레이",IF(TODAY()&gt;=DATE(YEAR(P235),MONTH(P235)-2,1),"임박","예정")))))</f>
        <v/>
      </c>
      <c r="R235" s="19">
        <f>IF(OR(N235="완료",N235="보류"),"-",IF(P235&lt;TODAY(),TODAY()-P235,""))</f>
        <v/>
      </c>
    </row>
    <row r="236" ht="18" customHeight="1">
      <c r="A236" s="14" t="inlineStr">
        <is>
          <t>씬 분리 + 허브 로비 (Bootstrap/Lobby/Run + NPC·대화)</t>
        </is>
      </c>
      <c r="B236" s="16" t="n"/>
      <c r="C236" s="20" t="inlineStr">
        <is>
          <t>✓</t>
        </is>
      </c>
      <c r="D236" s="16" t="n"/>
      <c r="E236" s="16" t="n"/>
      <c r="F236" s="16" t="n"/>
      <c r="G236" s="16" t="n"/>
      <c r="H236" s="16" t="n"/>
      <c r="I236" s="16" t="n"/>
      <c r="J236" s="16" t="n"/>
      <c r="K236" s="16" t="n"/>
      <c r="L236" s="16" t="n"/>
      <c r="M236" s="17">
        <f>_xlfn.XLOOKUP(A236,'작업관리'!B:B,'작업관리'!E:E,"")</f>
        <v/>
      </c>
      <c r="N236" s="17">
        <f>_xlfn.XLOOKUP(A236,'작업관리'!B:B,'작업관리'!F:F,"")</f>
        <v/>
      </c>
      <c r="O236" s="17">
        <f>_xlfn.XLOOKUP(A236,'작업관리'!B:B,'작업관리'!G:G,"")</f>
        <v/>
      </c>
      <c r="P236" s="18" t="n">
        <v>46295</v>
      </c>
      <c r="Q236" s="17">
        <f>IF(N236="완료","완료",IF(N236="보류","보류",IF(N236="진행 중",IF(P236&lt;TODAY(),"딜레이","진행중"),IF(P236&lt;TODAY(),"딜레이",IF(TODAY()&gt;=DATE(YEAR(P236),MONTH(P236)-2,1),"임박","예정")))))</f>
        <v/>
      </c>
      <c r="R236" s="19">
        <f>IF(OR(N236="완료",N236="보류"),"-",IF(P236&lt;TODAY(),TODAY()-P236,""))</f>
        <v/>
      </c>
    </row>
    <row r="237" ht="18" customHeight="1">
      <c r="A237" s="14" t="inlineStr">
        <is>
          <t>허브 로비 H3-① 로딩 페이드 (씬 전환 연출)</t>
        </is>
      </c>
      <c r="B237" s="16" t="n"/>
      <c r="C237" s="20" t="inlineStr">
        <is>
          <t>✓</t>
        </is>
      </c>
      <c r="D237" s="16" t="n"/>
      <c r="E237" s="16" t="n"/>
      <c r="F237" s="16" t="n"/>
      <c r="G237" s="16" t="n"/>
      <c r="H237" s="16" t="n"/>
      <c r="I237" s="16" t="n"/>
      <c r="J237" s="16" t="n"/>
      <c r="K237" s="16" t="n"/>
      <c r="L237" s="16" t="n"/>
      <c r="M237" s="17">
        <f>_xlfn.XLOOKUP(A237,'작업관리'!B:B,'작업관리'!E:E,"")</f>
        <v/>
      </c>
      <c r="N237" s="17">
        <f>_xlfn.XLOOKUP(A237,'작업관리'!B:B,'작업관리'!F:F,"")</f>
        <v/>
      </c>
      <c r="O237" s="17">
        <f>_xlfn.XLOOKUP(A237,'작업관리'!B:B,'작업관리'!G:G,"")</f>
        <v/>
      </c>
      <c r="P237" s="18" t="n">
        <v>46295</v>
      </c>
      <c r="Q237" s="17">
        <f>IF(N237="완료","완료",IF(N237="보류","보류",IF(N237="진행 중",IF(P237&lt;TODAY(),"딜레이","진행중"),IF(P237&lt;TODAY(),"딜레이",IF(TODAY()&gt;=DATE(YEAR(P237),MONTH(P237)-2,1),"임박","예정")))))</f>
        <v/>
      </c>
      <c r="R237" s="19">
        <f>IF(OR(N237="완료",N237="보류"),"-",IF(P237&lt;TODAY(),TODAY()-P237,""))</f>
        <v/>
      </c>
    </row>
    <row r="238" ht="18" customHeight="1">
      <c r="A238" s="14" t="inlineStr">
        <is>
          <t>허브 로비 H3-③ 스토리 서사 확장 (기록자 NPC)</t>
        </is>
      </c>
      <c r="B238" s="16" t="n"/>
      <c r="C238" s="20" t="inlineStr">
        <is>
          <t>✓</t>
        </is>
      </c>
      <c r="D238" s="16" t="n"/>
      <c r="E238" s="16" t="n"/>
      <c r="F238" s="16" t="n"/>
      <c r="G238" s="16" t="n"/>
      <c r="H238" s="16" t="n"/>
      <c r="I238" s="16" t="n"/>
      <c r="J238" s="16" t="n"/>
      <c r="K238" s="16" t="n"/>
      <c r="L238" s="16" t="n"/>
      <c r="M238" s="17">
        <f>_xlfn.XLOOKUP(A238,'작업관리'!B:B,'작업관리'!E:E,"")</f>
        <v/>
      </c>
      <c r="N238" s="17">
        <f>_xlfn.XLOOKUP(A238,'작업관리'!B:B,'작업관리'!F:F,"")</f>
        <v/>
      </c>
      <c r="O238" s="17">
        <f>_xlfn.XLOOKUP(A238,'작업관리'!B:B,'작업관리'!G:G,"")</f>
        <v/>
      </c>
      <c r="P238" s="18" t="n">
        <v>46295</v>
      </c>
      <c r="Q238" s="17">
        <f>IF(N238="완료","완료",IF(N238="보류","보류",IF(N238="진행 중",IF(P238&lt;TODAY(),"딜레이","진행중"),IF(P238&lt;TODAY(),"딜레이",IF(TODAY()&gt;=DATE(YEAR(P238),MONTH(P238)-2,1),"임박","예정")))))</f>
        <v/>
      </c>
      <c r="R238" s="19">
        <f>IF(OR(N238="완료",N238="보류"),"-",IF(P238&lt;TODAY(),TODAY()-P238,""))</f>
        <v/>
      </c>
    </row>
    <row r="239" ht="18" customHeight="1">
      <c r="A239" s="14" t="inlineStr">
        <is>
          <t>로비 캐릭터 폼 애니메이션 (대기·달리기·점프·낙하 · LobbyAnimationBinder)</t>
        </is>
      </c>
      <c r="B239" s="16" t="n"/>
      <c r="C239" s="16" t="n"/>
      <c r="D239" s="16" t="n"/>
      <c r="E239" s="37" t="inlineStr">
        <is>
          <t>✓</t>
        </is>
      </c>
      <c r="F239" s="16" t="n"/>
      <c r="G239" s="16" t="n"/>
      <c r="H239" s="16" t="n"/>
      <c r="I239" s="16" t="n"/>
      <c r="J239" s="16" t="n"/>
      <c r="K239" s="16" t="n"/>
      <c r="L239" s="16" t="n"/>
      <c r="M239" s="17">
        <f>_xlfn.XLOOKUP(A239,'작업관리'!B:B,'작업관리'!E:E,"")</f>
        <v/>
      </c>
      <c r="N239" s="17">
        <f>_xlfn.XLOOKUP(A239,'작업관리'!B:B,'작업관리'!F:F,"")</f>
        <v/>
      </c>
      <c r="O239" s="17">
        <f>_xlfn.XLOOKUP(A239,'작업관리'!B:B,'작업관리'!G:G,"")</f>
        <v/>
      </c>
      <c r="P239" s="18" t="n">
        <v>46477</v>
      </c>
      <c r="Q239" s="17">
        <f>IF(N239="완료","완료",IF(N239="보류","보류",IF(N239="진행 중",IF(P239&lt;TODAY(),"딜레이","진행중"),IF(P239&lt;TODAY(),"딜레이",IF(TODAY()&gt;=DATE(YEAR(P239),MONTH(P239)-2,1),"임박","예정")))))</f>
        <v/>
      </c>
      <c r="R239" s="19">
        <f>IF(OR(N239="완료",N239="보류"),"-",IF(P239&lt;TODAY(),TODAY()-P239,""))</f>
        <v/>
      </c>
    </row>
    <row r="240" ht="18" customHeight="1">
      <c r="A240" s="14" t="inlineStr">
        <is>
          <t>로비 환경 아트 (Stage1 세트 재사용 · 배경 3층 · 바닥/벽 타일 · 석관)</t>
        </is>
      </c>
      <c r="B240" s="16" t="n"/>
      <c r="C240" s="16" t="n"/>
      <c r="D240" s="16" t="n"/>
      <c r="E240" s="37" t="inlineStr">
        <is>
          <t>✓</t>
        </is>
      </c>
      <c r="F240" s="16" t="n"/>
      <c r="G240" s="16" t="n"/>
      <c r="H240" s="16" t="n"/>
      <c r="I240" s="16" t="n"/>
      <c r="J240" s="16" t="n"/>
      <c r="K240" s="16" t="n"/>
      <c r="L240" s="16" t="n"/>
      <c r="M240" s="17">
        <f>_xlfn.XLOOKUP(A240,'작업관리'!B:B,'작업관리'!E:E,"")</f>
        <v/>
      </c>
      <c r="N240" s="17">
        <f>_xlfn.XLOOKUP(A240,'작업관리'!B:B,'작업관리'!F:F,"")</f>
        <v/>
      </c>
      <c r="O240" s="17">
        <f>_xlfn.XLOOKUP(A240,'작업관리'!B:B,'작업관리'!G:G,"")</f>
        <v/>
      </c>
      <c r="P240" s="18" t="n">
        <v>46477</v>
      </c>
      <c r="Q240" s="17">
        <f>IF(N240="완료","완료",IF(N240="보류","보류",IF(N240="진행 중",IF(P240&lt;TODAY(),"딜레이","진행중"),IF(P240&lt;TODAY(),"딜레이",IF(TODAY()&gt;=DATE(YEAR(P240),MONTH(P240)-2,1),"임박","예정")))))</f>
        <v/>
      </c>
      <c r="R240" s="19">
        <f>IF(OR(N240="완료",N240="보류"),"-",IF(P240&lt;TODAY(),TODAY()-P240,""))</f>
        <v/>
      </c>
    </row>
    <row r="241" ht="18" customHeight="1">
      <c r="A241" s="14" t="inlineStr">
        <is>
          <t>로비 오브젝트 그림 (포털 아치 · 제단 사당 · 유물 좌판 석관)</t>
        </is>
      </c>
      <c r="B241" s="16" t="n"/>
      <c r="C241" s="16" t="n"/>
      <c r="D241" s="16" t="n"/>
      <c r="E241" s="22" t="n"/>
      <c r="F241" s="16" t="n"/>
      <c r="G241" s="16" t="n"/>
      <c r="H241" s="16" t="n"/>
      <c r="I241" s="16" t="n"/>
      <c r="J241" s="16" t="n"/>
      <c r="K241" s="16" t="n"/>
      <c r="L241" s="16" t="n"/>
      <c r="M241" s="17">
        <f>_xlfn.XLOOKUP(A241,'작업관리'!B:B,'작업관리'!E:E,"")</f>
        <v/>
      </c>
      <c r="N241" s="17">
        <f>_xlfn.XLOOKUP(A241,'작업관리'!B:B,'작업관리'!F:F,"")</f>
        <v/>
      </c>
      <c r="O241" s="17">
        <f>_xlfn.XLOOKUP(A241,'작업관리'!B:B,'작업관리'!G:G,"")</f>
        <v/>
      </c>
      <c r="P241" s="18" t="n">
        <v>46477</v>
      </c>
      <c r="Q241" s="17">
        <f>IF(N241="완료","완료",IF(N241="보류","보류",IF(N241="진행 중",IF(P241&lt;TODAY(),"딜레이","진행중"),IF(P241&lt;TODAY(),"딜레이",IF(TODAY()&gt;=DATE(YEAR(P241),MONTH(P241)-2,1),"임박","예정")))))</f>
        <v/>
      </c>
      <c r="R241" s="19">
        <f>IF(OR(N241="완료",N241="보류"),"-",IF(P241&lt;TODAY(),TODAY()-P241,""))</f>
        <v/>
      </c>
    </row>
    <row r="242" ht="18" customHeight="1">
      <c r="A242" s="14" t="inlineStr">
        <is>
          <t>로비 피난처 배경 교체 + 카메라 이동 경계</t>
        </is>
      </c>
      <c r="B242" s="16" t="n"/>
      <c r="C242" s="16" t="n"/>
      <c r="D242" s="16" t="n"/>
      <c r="E242" s="37" t="inlineStr">
        <is>
          <t>✓</t>
        </is>
      </c>
      <c r="F242" s="16" t="n"/>
      <c r="G242" s="16" t="n"/>
      <c r="H242" s="16" t="n"/>
      <c r="I242" s="16" t="n"/>
      <c r="J242" s="16" t="n"/>
      <c r="K242" s="16" t="n"/>
      <c r="L242" s="16" t="n"/>
      <c r="M242" s="17">
        <f>_xlfn.XLOOKUP(A242,'작업관리'!B:B,'작업관리'!E:E,"")</f>
        <v/>
      </c>
      <c r="N242" s="17">
        <f>_xlfn.XLOOKUP(A242,'작업관리'!B:B,'작업관리'!F:F,"")</f>
        <v/>
      </c>
      <c r="O242" s="17">
        <f>_xlfn.XLOOKUP(A242,'작업관리'!B:B,'작업관리'!G:G,"")</f>
        <v/>
      </c>
      <c r="P242" s="18" t="n">
        <v>46477</v>
      </c>
      <c r="Q242" s="17">
        <f>IF(N242="완료","완료",IF(N242="보류","보류",IF(N242="진행 중",IF(P242&lt;TODAY(),"딜레이","진행중"),IF(P242&lt;TODAY(),"딜레이",IF(TODAY()&gt;=DATE(YEAR(P242),MONTH(P242)-2,1),"임박","예정")))))</f>
        <v/>
      </c>
      <c r="R242" s="19">
        <f>IF(OR(N242="완료",N242="보류"),"-",IF(P242&lt;TODAY(),TODAY()-P242,""))</f>
        <v/>
      </c>
    </row>
    <row r="243" ht="18" customHeight="1">
      <c r="A243" s="14" t="inlineStr">
        <is>
          <t>로비 NPC 5종 그림 (안내자·기록자·각인사·제단지기·유물 상인 · idle 4프레임 + 대화 일러스트)</t>
        </is>
      </c>
      <c r="B243" s="16" t="n"/>
      <c r="C243" s="16" t="n"/>
      <c r="D243" s="16" t="n"/>
      <c r="E243" s="37" t="inlineStr">
        <is>
          <t>✓</t>
        </is>
      </c>
      <c r="F243" s="16" t="n"/>
      <c r="G243" s="16" t="n"/>
      <c r="H243" s="16" t="n"/>
      <c r="I243" s="16" t="n"/>
      <c r="J243" s="16" t="n"/>
      <c r="K243" s="16" t="n"/>
      <c r="L243" s="16" t="n"/>
      <c r="M243" s="17">
        <f>_xlfn.XLOOKUP(A243,'작업관리'!B:B,'작업관리'!E:E,"")</f>
        <v/>
      </c>
      <c r="N243" s="17">
        <f>_xlfn.XLOOKUP(A243,'작업관리'!B:B,'작업관리'!F:F,"")</f>
        <v/>
      </c>
      <c r="O243" s="17">
        <f>_xlfn.XLOOKUP(A243,'작업관리'!B:B,'작업관리'!G:G,"")</f>
        <v/>
      </c>
      <c r="P243" s="18" t="n">
        <v>46477</v>
      </c>
      <c r="Q243" s="17">
        <f>IF(N243="완료","완료",IF(N243="보류","보류",IF(N243="진행 중",IF(P243&lt;TODAY(),"딜레이","진행중"),IF(P243&lt;TODAY(),"딜레이",IF(TODAY()&gt;=DATE(YEAR(P243),MONTH(P243)-2,1),"임박","예정")))))</f>
        <v/>
      </c>
      <c r="R243" s="19">
        <f>IF(OR(N243="완료",N243="보류"),"-",IF(P243&lt;TODAY(),TODAY()-P243,""))</f>
        <v/>
      </c>
    </row>
    <row r="244" ht="18" customHeight="1">
      <c r="A244" s="14" t="inlineStr">
        <is>
          <t>로비·타이틀 UI 현지화 (타이틀·로비 메뉴·도감 틀·폼 선택·대화 힌트 → CSV)</t>
        </is>
      </c>
      <c r="B244" s="16" t="n"/>
      <c r="C244" s="16" t="n"/>
      <c r="D244" s="16" t="n"/>
      <c r="E244" s="37" t="inlineStr">
        <is>
          <t>✓</t>
        </is>
      </c>
      <c r="F244" s="16" t="n"/>
      <c r="G244" s="16" t="n"/>
      <c r="H244" s="16" t="n"/>
      <c r="I244" s="16" t="n"/>
      <c r="J244" s="16" t="n"/>
      <c r="K244" s="16" t="n"/>
      <c r="L244" s="16" t="n"/>
      <c r="M244" s="17">
        <f>_xlfn.XLOOKUP(A244,'작업관리'!B:B,'작업관리'!E:E,"")</f>
        <v/>
      </c>
      <c r="N244" s="17">
        <f>_xlfn.XLOOKUP(A244,'작업관리'!B:B,'작업관리'!F:F,"")</f>
        <v/>
      </c>
      <c r="O244" s="17">
        <f>_xlfn.XLOOKUP(A244,'작업관리'!B:B,'작업관리'!G:G,"")</f>
        <v/>
      </c>
      <c r="P244" s="18" t="n">
        <v>46477</v>
      </c>
      <c r="Q244" s="17">
        <f>IF(N244="완료","완료",IF(N244="보류","보류",IF(N244="진행 중",IF(P244&lt;TODAY(),"딜레이","진행중"),IF(P244&lt;TODAY(),"딜레이",IF(TODAY()&gt;=DATE(YEAR(P244),MONTH(P244)-2,1),"임박","예정")))))</f>
        <v/>
      </c>
      <c r="R244" s="19">
        <f>IF(OR(N244="완료",N244="보류"),"-",IF(P244&lt;TODAY(),TODAY()-P244,""))</f>
        <v/>
      </c>
    </row>
    <row r="245" ht="18" customHeight="1">
      <c r="A245" s="14" t="inlineStr">
        <is>
          <t>폼 카탈로그 자동 로드 (FormCatalog + Resources 이전)</t>
        </is>
      </c>
      <c r="B245" s="16" t="n"/>
      <c r="C245" s="20" t="inlineStr">
        <is>
          <t>✓</t>
        </is>
      </c>
      <c r="D245" s="16" t="n"/>
      <c r="E245" s="16" t="n"/>
      <c r="F245" s="16" t="n"/>
      <c r="G245" s="16" t="n"/>
      <c r="H245" s="16" t="n"/>
      <c r="I245" s="16" t="n"/>
      <c r="J245" s="16" t="n"/>
      <c r="K245" s="16" t="n"/>
      <c r="L245" s="16" t="n"/>
      <c r="M245" s="17">
        <f>_xlfn.XLOOKUP(A245,'작업관리'!B:B,'작업관리'!E:E,"")</f>
        <v/>
      </c>
      <c r="N245" s="17">
        <f>_xlfn.XLOOKUP(A245,'작업관리'!B:B,'작업관리'!F:F,"")</f>
        <v/>
      </c>
      <c r="O245" s="17">
        <f>_xlfn.XLOOKUP(A245,'작업관리'!B:B,'작업관리'!G:G,"")</f>
        <v/>
      </c>
      <c r="P245" s="18" t="n">
        <v>46295</v>
      </c>
      <c r="Q245" s="17">
        <f>IF(N245="완료","완료",IF(N245="보류","보류",IF(N245="진행 중",IF(P245&lt;TODAY(),"딜레이","진행중"),IF(P245&lt;TODAY(),"딜레이",IF(TODAY()&gt;=DATE(YEAR(P245),MONTH(P245)-2,1),"임박","예정")))))</f>
        <v/>
      </c>
      <c r="R245" s="19">
        <f>IF(OR(N245="완료",N245="보류"),"-",IF(P245&lt;TODAY(),TODAY()-P245,""))</f>
        <v/>
      </c>
    </row>
    <row r="246" ht="18" customHeight="1">
      <c r="A246" s="14" t="inlineStr">
        <is>
          <t>폼 보상 미보유 우선 추첨 + Stage2 보상 룸</t>
        </is>
      </c>
      <c r="B246" s="16" t="n"/>
      <c r="C246" s="20" t="inlineStr">
        <is>
          <t>✓</t>
        </is>
      </c>
      <c r="D246" s="16" t="n"/>
      <c r="E246" s="16" t="n"/>
      <c r="F246" s="16" t="n"/>
      <c r="G246" s="16" t="n"/>
      <c r="H246" s="16" t="n"/>
      <c r="I246" s="16" t="n"/>
      <c r="J246" s="16" t="n"/>
      <c r="K246" s="16" t="n"/>
      <c r="L246" s="16" t="n"/>
      <c r="M246" s="17">
        <f>_xlfn.XLOOKUP(A246,'작업관리'!B:B,'작업관리'!E:E,"")</f>
        <v/>
      </c>
      <c r="N246" s="17">
        <f>_xlfn.XLOOKUP(A246,'작업관리'!B:B,'작업관리'!F:F,"")</f>
        <v/>
      </c>
      <c r="O246" s="17">
        <f>_xlfn.XLOOKUP(A246,'작업관리'!B:B,'작업관리'!G:G,"")</f>
        <v/>
      </c>
      <c r="P246" s="18" t="n">
        <v>46295</v>
      </c>
      <c r="Q246" s="17">
        <f>IF(N246="완료","완료",IF(N246="보류","보류",IF(N246="진행 중",IF(P246&lt;TODAY(),"딜레이","진행중"),IF(P246&lt;TODAY(),"딜레이",IF(TODAY()&gt;=DATE(YEAR(P246),MONTH(P246)-2,1),"임박","예정")))))</f>
        <v/>
      </c>
      <c r="R246" s="19">
        <f>IF(OR(N246="완료",N246="보류"),"-",IF(P246&lt;TODAY(),TODAY()-P246,""))</f>
        <v/>
      </c>
    </row>
    <row r="247" ht="18" customHeight="1">
      <c r="A247" s="14" t="inlineStr">
        <is>
          <t>폼 교체 상태 게이트 (피격·시전·사망 차단)</t>
        </is>
      </c>
      <c r="B247" s="16" t="n"/>
      <c r="C247" s="20" t="inlineStr">
        <is>
          <t>✓</t>
        </is>
      </c>
      <c r="D247" s="16" t="n"/>
      <c r="E247" s="16" t="n"/>
      <c r="F247" s="16" t="n"/>
      <c r="G247" s="16" t="n"/>
      <c r="H247" s="16" t="n"/>
      <c r="I247" s="16" t="n"/>
      <c r="J247" s="16" t="n"/>
      <c r="K247" s="16" t="n"/>
      <c r="L247" s="16" t="n"/>
      <c r="M247" s="17">
        <f>_xlfn.XLOOKUP(A247,'작업관리'!B:B,'작업관리'!E:E,"")</f>
        <v/>
      </c>
      <c r="N247" s="17">
        <f>_xlfn.XLOOKUP(A247,'작업관리'!B:B,'작업관리'!F:F,"")</f>
        <v/>
      </c>
      <c r="O247" s="17">
        <f>_xlfn.XLOOKUP(A247,'작업관리'!B:B,'작업관리'!G:G,"")</f>
        <v/>
      </c>
      <c r="P247" s="18" t="n">
        <v>46295</v>
      </c>
      <c r="Q247" s="17">
        <f>IF(N247="완료","완료",IF(N247="보류","보류",IF(N247="진행 중",IF(P247&lt;TODAY(),"딜레이","진행중"),IF(P247&lt;TODAY(),"딜레이",IF(TODAY()&gt;=DATE(YEAR(P247),MONTH(P247)-2,1),"임박","예정")))))</f>
        <v/>
      </c>
      <c r="R247" s="19">
        <f>IF(OR(N247="완료",N247="보류"),"-",IF(P247&lt;TODAY(),TODAY()-P247,""))</f>
        <v/>
      </c>
    </row>
    <row r="248" ht="18" customHeight="1">
      <c r="A248" s="14" t="inlineStr">
        <is>
          <t>MetaSave 스키마 마이그레이션 v1</t>
        </is>
      </c>
      <c r="B248" s="16" t="n"/>
      <c r="C248" s="20" t="inlineStr">
        <is>
          <t>✓</t>
        </is>
      </c>
      <c r="D248" s="16" t="n"/>
      <c r="E248" s="16" t="n"/>
      <c r="F248" s="16" t="n"/>
      <c r="G248" s="16" t="n"/>
      <c r="H248" s="16" t="n"/>
      <c r="I248" s="16" t="n"/>
      <c r="J248" s="16" t="n"/>
      <c r="K248" s="16" t="n"/>
      <c r="L248" s="16" t="n"/>
      <c r="M248" s="17">
        <f>_xlfn.XLOOKUP(A248,'작업관리'!B:B,'작업관리'!E:E,"")</f>
        <v/>
      </c>
      <c r="N248" s="17">
        <f>_xlfn.XLOOKUP(A248,'작업관리'!B:B,'작업관리'!F:F,"")</f>
        <v/>
      </c>
      <c r="O248" s="17">
        <f>_xlfn.XLOOKUP(A248,'작업관리'!B:B,'작업관리'!G:G,"")</f>
        <v/>
      </c>
      <c r="P248" s="18" t="n">
        <v>46295</v>
      </c>
      <c r="Q248" s="17">
        <f>IF(N248="완료","완료",IF(N248="보류","보류",IF(N248="진행 중",IF(P248&lt;TODAY(),"딜레이","진행중"),IF(P248&lt;TODAY(),"딜레이",IF(TODAY()&gt;=DATE(YEAR(P248),MONTH(P248)-2,1),"임박","예정")))))</f>
        <v/>
      </c>
      <c r="R248" s="19">
        <f>IF(OR(N248="완료",N248="보류"),"-",IF(P248&lt;TODAY(),TODAY()-P248,""))</f>
        <v/>
      </c>
    </row>
    <row r="249" ht="18" customHeight="1">
      <c r="A249" s="14" t="inlineStr">
        <is>
          <t>설정 저장처 통일 (언어 → MetaSave)</t>
        </is>
      </c>
      <c r="B249" s="16" t="n"/>
      <c r="C249" s="16" t="n"/>
      <c r="D249" s="21" t="inlineStr">
        <is>
          <t>✓</t>
        </is>
      </c>
      <c r="E249" s="16" t="n"/>
      <c r="F249" s="16" t="n"/>
      <c r="G249" s="16" t="n"/>
      <c r="H249" s="16" t="n"/>
      <c r="I249" s="16" t="n"/>
      <c r="J249" s="16" t="n"/>
      <c r="K249" s="16" t="n"/>
      <c r="L249" s="16" t="n"/>
      <c r="M249" s="17">
        <f>_xlfn.XLOOKUP(A249,'작업관리'!B:B,'작업관리'!E:E,"")</f>
        <v/>
      </c>
      <c r="N249" s="17">
        <f>_xlfn.XLOOKUP(A249,'작업관리'!B:B,'작업관리'!F:F,"")</f>
        <v/>
      </c>
      <c r="O249" s="17">
        <f>_xlfn.XLOOKUP(A249,'작업관리'!B:B,'작업관리'!G:G,"")</f>
        <v/>
      </c>
      <c r="P249" s="18" t="n">
        <v>46387</v>
      </c>
      <c r="Q249" s="17">
        <f>IF(N249="완료","완료",IF(N249="보류","보류",IF(N249="진행 중",IF(P249&lt;TODAY(),"딜레이","진행중"),IF(P249&lt;TODAY(),"딜레이",IF(TODAY()&gt;=DATE(YEAR(P249),MONTH(P249)-2,1),"임박","예정")))))</f>
        <v/>
      </c>
      <c r="R249" s="19">
        <f>IF(OR(N249="완료",N249="보류"),"-",IF(P249&lt;TODAY(),TODAY()-P249,""))</f>
        <v/>
      </c>
    </row>
    <row r="250" ht="18" customHeight="1">
      <c r="A250" s="14" t="inlineStr">
        <is>
          <t>저장 안전성 (임시 파일 교체 · 직전 정상본 보존 · I/O 실패/손상 구분 · wave2)</t>
        </is>
      </c>
      <c r="B250" s="16" t="n"/>
      <c r="C250" s="16" t="n"/>
      <c r="D250" s="16" t="n"/>
      <c r="E250" s="37" t="inlineStr">
        <is>
          <t>✓</t>
        </is>
      </c>
      <c r="F250" s="16" t="n"/>
      <c r="G250" s="16" t="n"/>
      <c r="H250" s="16" t="n"/>
      <c r="I250" s="16" t="n"/>
      <c r="J250" s="16" t="n"/>
      <c r="K250" s="16" t="n"/>
      <c r="L250" s="16" t="n"/>
      <c r="M250" s="17">
        <f>_xlfn.XLOOKUP(A250,'작업관리'!B:B,'작업관리'!E:E,"")</f>
        <v/>
      </c>
      <c r="N250" s="17">
        <f>_xlfn.XLOOKUP(A250,'작업관리'!B:B,'작업관리'!F:F,"")</f>
        <v/>
      </c>
      <c r="O250" s="17">
        <f>_xlfn.XLOOKUP(A250,'작업관리'!B:B,'작업관리'!G:G,"")</f>
        <v/>
      </c>
      <c r="P250" s="18" t="n">
        <v>46477</v>
      </c>
      <c r="Q250" s="17">
        <f>IF(N250="완료","완료",IF(N250="보류","보류",IF(N250="진행 중",IF(P250&lt;TODAY(),"딜레이","진행중"),IF(P250&lt;TODAY(),"딜레이",IF(TODAY()&gt;=DATE(YEAR(P250),MONTH(P250)-2,1),"임박","예정")))))</f>
        <v/>
      </c>
      <c r="R250" s="19">
        <f>IF(OR(N250="완료",N250="보류"),"-",IF(P250&lt;TODAY(),TODAY()-P250,""))</f>
        <v/>
      </c>
    </row>
    <row r="251" ht="18" customHeight="1">
      <c r="A251" s="14" t="inlineStr">
        <is>
          <t>저장 실패 알림 + 명시적 재시도 UX (보류 모달 · 우상단 표시 · 토스트 · SaveStatusOverlay)</t>
        </is>
      </c>
      <c r="B251" s="16" t="n"/>
      <c r="C251" s="16" t="n"/>
      <c r="D251" s="16" t="n"/>
      <c r="E251" s="37" t="inlineStr">
        <is>
          <t>✓</t>
        </is>
      </c>
      <c r="F251" s="16" t="n"/>
      <c r="G251" s="16" t="n"/>
      <c r="H251" s="16" t="n"/>
      <c r="I251" s="16" t="n"/>
      <c r="J251" s="16" t="n"/>
      <c r="K251" s="16" t="n"/>
      <c r="L251" s="16" t="n"/>
      <c r="M251" s="17">
        <f>_xlfn.XLOOKUP(A251,'작업관리'!B:B,'작업관리'!E:E,"")</f>
        <v/>
      </c>
      <c r="N251" s="17">
        <f>_xlfn.XLOOKUP(A251,'작업관리'!B:B,'작업관리'!F:F,"")</f>
        <v/>
      </c>
      <c r="O251" s="17">
        <f>_xlfn.XLOOKUP(A251,'작업관리'!B:B,'작업관리'!G:G,"")</f>
        <v/>
      </c>
      <c r="P251" s="18" t="n">
        <v>46477</v>
      </c>
      <c r="Q251" s="17">
        <f>IF(N251="완료","완료",IF(N251="보류","보류",IF(N251="진행 중",IF(P251&lt;TODAY(),"딜레이","진행중"),IF(P251&lt;TODAY(),"딜레이",IF(TODAY()&gt;=DATE(YEAR(P251),MONTH(P251)-2,1),"임박","예정")))))</f>
        <v/>
      </c>
      <c r="R251" s="19">
        <f>IF(OR(N251="완료",N251="보류"),"-",IF(P251&lt;TODAY(),TODAY()-P251,""))</f>
        <v/>
      </c>
    </row>
    <row r="252" ht="18" customHeight="1">
      <c r="A252" s="14" t="inlineStr">
        <is>
          <t>저장 실패 모달 키보드·패드 조작 (포커스·ESC/B·입력 양보 9곳)</t>
        </is>
      </c>
      <c r="B252" s="16" t="n"/>
      <c r="C252" s="16" t="n"/>
      <c r="D252" s="16" t="n"/>
      <c r="E252" s="37" t="inlineStr">
        <is>
          <t>✓</t>
        </is>
      </c>
      <c r="F252" s="16" t="n"/>
      <c r="G252" s="16" t="n"/>
      <c r="H252" s="16" t="n"/>
      <c r="I252" s="16" t="n"/>
      <c r="J252" s="16" t="n"/>
      <c r="K252" s="16" t="n"/>
      <c r="L252" s="16" t="n"/>
      <c r="M252" s="17">
        <f>_xlfn.XLOOKUP(A252,'작업관리'!B:B,'작업관리'!E:E,"")</f>
        <v/>
      </c>
      <c r="N252" s="17">
        <f>_xlfn.XLOOKUP(A252,'작업관리'!B:B,'작업관리'!F:F,"")</f>
        <v/>
      </c>
      <c r="O252" s="17">
        <f>_xlfn.XLOOKUP(A252,'작업관리'!B:B,'작업관리'!G:G,"")</f>
        <v/>
      </c>
      <c r="P252" s="18" t="n">
        <v>46477</v>
      </c>
      <c r="Q252" s="17">
        <f>IF(N252="완료","완료",IF(N252="보류","보류",IF(N252="진행 중",IF(P252&lt;TODAY(),"딜레이","진행중"),IF(P252&lt;TODAY(),"딜레이",IF(TODAY()&gt;=DATE(YEAR(P252),MONTH(P252)-2,1),"임박","예정")))))</f>
        <v/>
      </c>
      <c r="R252" s="19">
        <f>IF(OR(N252="완료",N252="보류"),"-",IF(P252&lt;TODAY(),TODAY()-P252,""))</f>
        <v/>
      </c>
    </row>
    <row r="253" ht="18" customHeight="1">
      <c r="A253" s="14" t="inlineStr">
        <is>
          <t>도감 본문·일시정지·런 요약·상호작용 문구 현지화 (55행)</t>
        </is>
      </c>
      <c r="B253" s="16" t="n"/>
      <c r="C253" s="16" t="n"/>
      <c r="D253" s="16" t="n"/>
      <c r="E253" s="37" t="inlineStr">
        <is>
          <t>✓</t>
        </is>
      </c>
      <c r="F253" s="16" t="n"/>
      <c r="G253" s="16" t="n"/>
      <c r="H253" s="16" t="n"/>
      <c r="I253" s="16" t="n"/>
      <c r="J253" s="16" t="n"/>
      <c r="K253" s="16" t="n"/>
      <c r="L253" s="16" t="n"/>
      <c r="M253" s="17">
        <f>_xlfn.XLOOKUP(A253,'작업관리'!B:B,'작업관리'!E:E,"")</f>
        <v/>
      </c>
      <c r="N253" s="17">
        <f>_xlfn.XLOOKUP(A253,'작업관리'!B:B,'작업관리'!F:F,"")</f>
        <v/>
      </c>
      <c r="O253" s="17">
        <f>_xlfn.XLOOKUP(A253,'작업관리'!B:B,'작업관리'!G:G,"")</f>
        <v/>
      </c>
      <c r="P253" s="18" t="n">
        <v>46477</v>
      </c>
      <c r="Q253" s="17">
        <f>IF(N253="완료","완료",IF(N253="보류","보류",IF(N253="진행 중",IF(P253&lt;TODAY(),"딜레이","진행중"),IF(P253&lt;TODAY(),"딜레이",IF(TODAY()&gt;=DATE(YEAR(P253),MONTH(P253)-2,1),"임박","예정")))))</f>
        <v/>
      </c>
      <c r="R253" s="19">
        <f>IF(OR(N253="완료",N253="보류"),"-",IF(P253&lt;TODAY(),TODAY()-P253,""))</f>
        <v/>
      </c>
    </row>
    <row r="254" ht="18" customHeight="1">
      <c r="A254" s="14" t="inlineStr">
        <is>
          <t>런 포기/화면 전환 (정지 중 타이틀 · 포기 사실 이벤트 · 미등록 씬 복구 · wave2)</t>
        </is>
      </c>
      <c r="B254" s="16" t="n"/>
      <c r="C254" s="16" t="n"/>
      <c r="D254" s="16" t="n"/>
      <c r="E254" s="37" t="inlineStr">
        <is>
          <t>✓</t>
        </is>
      </c>
      <c r="F254" s="16" t="n"/>
      <c r="G254" s="16" t="n"/>
      <c r="H254" s="16" t="n"/>
      <c r="I254" s="16" t="n"/>
      <c r="J254" s="16" t="n"/>
      <c r="K254" s="16" t="n"/>
      <c r="L254" s="16" t="n"/>
      <c r="M254" s="17">
        <f>_xlfn.XLOOKUP(A254,'작업관리'!B:B,'작업관리'!E:E,"")</f>
        <v/>
      </c>
      <c r="N254" s="17">
        <f>_xlfn.XLOOKUP(A254,'작업관리'!B:B,'작업관리'!F:F,"")</f>
        <v/>
      </c>
      <c r="O254" s="17">
        <f>_xlfn.XLOOKUP(A254,'작업관리'!B:B,'작업관리'!G:G,"")</f>
        <v/>
      </c>
      <c r="P254" s="18" t="n">
        <v>46477</v>
      </c>
      <c r="Q254" s="17">
        <f>IF(N254="완료","완료",IF(N254="보류","보류",IF(N254="진행 중",IF(P254&lt;TODAY(),"딜레이","진행중"),IF(P254&lt;TODAY(),"딜레이",IF(TODAY()&gt;=DATE(YEAR(P254),MONTH(P254)-2,1),"임박","예정")))))</f>
        <v/>
      </c>
      <c r="R254" s="19">
        <f>IF(OR(N254="완료",N254="보류"),"-",IF(P254&lt;TODAY(),TODAY()-P254,""))</f>
        <v/>
      </c>
    </row>
    <row r="255" ht="18" customHeight="1">
      <c r="A255" s="14" t="inlineStr">
        <is>
          <t>런 종료 계측 (사망·완주·포기·미종료 분류 · 실제 정산액 · 빌드 식별 · wave2)</t>
        </is>
      </c>
      <c r="B255" s="16" t="n"/>
      <c r="C255" s="16" t="n"/>
      <c r="D255" s="16" t="n"/>
      <c r="E255" s="37" t="inlineStr">
        <is>
          <t>✓</t>
        </is>
      </c>
      <c r="F255" s="16" t="n"/>
      <c r="G255" s="16" t="n"/>
      <c r="H255" s="16" t="n"/>
      <c r="I255" s="16" t="n"/>
      <c r="J255" s="16" t="n"/>
      <c r="K255" s="16" t="n"/>
      <c r="L255" s="16" t="n"/>
      <c r="M255" s="17">
        <f>_xlfn.XLOOKUP(A255,'작업관리'!B:B,'작업관리'!E:E,"")</f>
        <v/>
      </c>
      <c r="N255" s="17">
        <f>_xlfn.XLOOKUP(A255,'작업관리'!B:B,'작업관리'!F:F,"")</f>
        <v/>
      </c>
      <c r="O255" s="17">
        <f>_xlfn.XLOOKUP(A255,'작업관리'!B:B,'작업관리'!G:G,"")</f>
        <v/>
      </c>
      <c r="P255" s="18" t="n">
        <v>46477</v>
      </c>
      <c r="Q255" s="17">
        <f>IF(N255="완료","완료",IF(N255="보류","보류",IF(N255="진행 중",IF(P255&lt;TODAY(),"딜레이","진행중"),IF(P255&lt;TODAY(),"딜레이",IF(TODAY()&gt;=DATE(YEAR(P255),MONTH(P255)-2,1),"임박","예정")))))</f>
        <v/>
      </c>
      <c r="R255" s="19">
        <f>IF(OR(N255="완료",N255="보류"),"-",IF(P255&lt;TODAY(),TODAY()-P255,""))</f>
        <v/>
      </c>
    </row>
    <row r="256" ht="18" customHeight="1">
      <c r="A256" s="14" t="inlineStr">
        <is>
          <t>EventBus 클래스 리팩터</t>
        </is>
      </c>
      <c r="B256" s="16" t="n"/>
      <c r="C256" s="42" t="n"/>
      <c r="D256" s="16" t="n"/>
      <c r="E256" s="16" t="n"/>
      <c r="F256" s="16" t="n"/>
      <c r="G256" s="16" t="n"/>
      <c r="H256" s="16" t="n"/>
      <c r="I256" s="16" t="n"/>
      <c r="J256" s="16" t="n"/>
      <c r="K256" s="16" t="n"/>
      <c r="L256" s="16" t="n"/>
      <c r="M256" s="17">
        <f>_xlfn.XLOOKUP(A256,'작업관리'!B:B,'작업관리'!E:E,"")</f>
        <v/>
      </c>
      <c r="N256" s="17">
        <f>_xlfn.XLOOKUP(A256,'작업관리'!B:B,'작업관리'!F:F,"")</f>
        <v/>
      </c>
      <c r="O256" s="17">
        <f>_xlfn.XLOOKUP(A256,'작업관리'!B:B,'작업관리'!G:G,"")</f>
        <v/>
      </c>
      <c r="P256" s="18" t="n">
        <v>46295</v>
      </c>
      <c r="Q256" s="17">
        <f>IF(N256="완료","완료",IF(N256="보류","보류",IF(N256="진행 중",IF(P256&lt;TODAY(),"딜레이","진행중"),IF(P256&lt;TODAY(),"딜레이",IF(TODAY()&gt;=DATE(YEAR(P256),MONTH(P256)-2,1),"임박","예정")))))</f>
        <v/>
      </c>
      <c r="R256" s="19">
        <f>IF(OR(N256="완료",N256="보류"),"-",IF(P256&lt;TODAY(),TODAY()-P256,""))</f>
        <v/>
      </c>
    </row>
    <row r="257" ht="18" customHeight="1">
      <c r="A257" s="14" t="inlineStr">
        <is>
          <t>Cinemachine Impulse + PrimeTween</t>
        </is>
      </c>
      <c r="B257" s="16" t="n"/>
      <c r="C257" s="16" t="n"/>
      <c r="D257" s="36" t="n"/>
      <c r="E257" s="16" t="n"/>
      <c r="F257" s="16" t="n"/>
      <c r="G257" s="16" t="n"/>
      <c r="H257" s="16" t="n"/>
      <c r="I257" s="16" t="n"/>
      <c r="J257" s="16" t="n"/>
      <c r="K257" s="16" t="n"/>
      <c r="L257" s="16" t="n"/>
      <c r="M257" s="17">
        <f>_xlfn.XLOOKUP(A257,'작업관리'!B:B,'작업관리'!E:E,"")</f>
        <v/>
      </c>
      <c r="N257" s="17">
        <f>_xlfn.XLOOKUP(A257,'작업관리'!B:B,'작업관리'!F:F,"")</f>
        <v/>
      </c>
      <c r="O257" s="17">
        <f>_xlfn.XLOOKUP(A257,'작업관리'!B:B,'작업관리'!G:G,"")</f>
        <v/>
      </c>
      <c r="P257" s="18" t="n">
        <v>46387</v>
      </c>
      <c r="Q257" s="17">
        <f>IF(N257="완료","완료",IF(N257="보류","보류",IF(N257="진행 중",IF(P257&lt;TODAY(),"딜레이","진행중"),IF(P257&lt;TODAY(),"딜레이",IF(TODAY()&gt;=DATE(YEAR(P257),MONTH(P257)-2,1),"임박","예정")))))</f>
        <v/>
      </c>
      <c r="R257" s="19">
        <f>IF(OR(N257="완료",N257="보류"),"-",IF(P257&lt;TODAY(),TODAY()-P257,""))</f>
        <v/>
      </c>
    </row>
    <row r="258" ht="18" customHeight="1">
      <c r="A258" s="14" t="inlineStr">
        <is>
          <t>Analytics P1 이벤트 확장</t>
        </is>
      </c>
      <c r="B258" s="16" t="n"/>
      <c r="C258" s="42" t="n"/>
      <c r="D258" s="16" t="n"/>
      <c r="E258" s="16" t="n"/>
      <c r="F258" s="16" t="n"/>
      <c r="G258" s="16" t="n"/>
      <c r="H258" s="16" t="n"/>
      <c r="I258" s="16" t="n"/>
      <c r="J258" s="16" t="n"/>
      <c r="K258" s="16" t="n"/>
      <c r="L258" s="16" t="n"/>
      <c r="M258" s="17">
        <f>_xlfn.XLOOKUP(A258,'작업관리'!B:B,'작업관리'!E:E,"")</f>
        <v/>
      </c>
      <c r="N258" s="17">
        <f>_xlfn.XLOOKUP(A258,'작업관리'!B:B,'작업관리'!F:F,"")</f>
        <v/>
      </c>
      <c r="O258" s="17">
        <f>_xlfn.XLOOKUP(A258,'작업관리'!B:B,'작업관리'!G:G,"")</f>
        <v/>
      </c>
      <c r="P258" s="18" t="n">
        <v>46295</v>
      </c>
      <c r="Q258" s="17">
        <f>IF(N258="완료","완료",IF(N258="보류","보류",IF(N258="진행 중",IF(P258&lt;TODAY(),"딜레이","진행중"),IF(P258&lt;TODAY(),"딜레이",IF(TODAY()&gt;=DATE(YEAR(P258),MONTH(P258)-2,1),"임박","예정")))))</f>
        <v/>
      </c>
      <c r="R258" s="19">
        <f>IF(OR(N258="완료",N258="보류"),"-",IF(P258&lt;TODAY(),TODAY()-P258,""))</f>
        <v/>
      </c>
    </row>
    <row r="259" ht="18" customHeight="1">
      <c r="A259" s="14" t="inlineStr">
        <is>
          <t>밸런스 시트 v1 (CSV/Sheet)</t>
        </is>
      </c>
      <c r="B259" s="16" t="n"/>
      <c r="C259" s="16" t="n"/>
      <c r="D259" s="29" t="inlineStr">
        <is>
          <t>현재 에셋48개 CSV5개 초안 · 원본 해시/재읽기 대조 · 플레이어/메타/조우·실제 조정 미포함 (2026-10-04)</t>
        </is>
      </c>
      <c r="E259" s="16" t="n"/>
      <c r="F259" s="16" t="n"/>
      <c r="G259" s="16" t="n"/>
      <c r="H259" s="16" t="n"/>
      <c r="I259" s="16" t="n"/>
      <c r="J259" s="16" t="n"/>
      <c r="K259" s="16" t="n"/>
      <c r="L259" s="16" t="n"/>
      <c r="M259" s="17">
        <f>_xlfn.XLOOKUP(A259,'작업관리'!B:B,'작업관리'!E:E,"")</f>
        <v/>
      </c>
      <c r="N259" s="17">
        <f>_xlfn.XLOOKUP(A259,'작업관리'!B:B,'작업관리'!F:F,"")</f>
        <v/>
      </c>
      <c r="O259" s="17">
        <f>_xlfn.XLOOKUP(A259,'작업관리'!B:B,'작업관리'!G:G,"")</f>
        <v/>
      </c>
      <c r="P259" s="18" t="n">
        <v>46387</v>
      </c>
      <c r="Q259" s="17">
        <f>IF(N259="완료","완료",IF(N259="보류","보류",IF(N259="진행 중",IF(P259&lt;TODAY(),"딜레이","진행중"),IF(P259&lt;TODAY(),"딜레이",IF(TODAY()&gt;=DATE(YEAR(P259),MONTH(P259)-2,1),"임박","예정")))))</f>
        <v/>
      </c>
      <c r="R259" s="19">
        <f>IF(OR(N259="완료",N259="보류"),"-",IF(P259&lt;TODAY(),TODAY()-P259,""))</f>
        <v/>
      </c>
    </row>
    <row r="260" ht="18" customHeight="1">
      <c r="A260" s="14" t="inlineStr">
        <is>
          <t>내부 플레이테스트 P-24 (9런+설문, 인프라 완료)</t>
        </is>
      </c>
      <c r="B260" s="16" t="n"/>
      <c r="C260" s="39" t="inlineStr">
        <is>
          <t>보류</t>
        </is>
      </c>
      <c r="D260" s="16" t="n"/>
      <c r="E260" s="16" t="n"/>
      <c r="F260" s="16" t="n"/>
      <c r="G260" s="16" t="n"/>
      <c r="H260" s="16" t="n"/>
      <c r="I260" s="16" t="n"/>
      <c r="J260" s="16" t="n"/>
      <c r="K260" s="16" t="n"/>
      <c r="L260" s="16" t="n"/>
      <c r="M260" s="17">
        <f>_xlfn.XLOOKUP(A260,'작업관리'!B:B,'작업관리'!E:E,"")</f>
        <v/>
      </c>
      <c r="N260" s="17">
        <f>_xlfn.XLOOKUP(A260,'작업관리'!B:B,'작업관리'!F:F,"")</f>
        <v/>
      </c>
      <c r="O260" s="17">
        <f>_xlfn.XLOOKUP(A260,'작업관리'!B:B,'작업관리'!G:G,"")</f>
        <v/>
      </c>
      <c r="P260" s="18" t="n">
        <v>46295</v>
      </c>
      <c r="Q260" s="17">
        <f>IF(N260="완료","완료",IF(N260="보류","보류",IF(N260="진행 중",IF(P260&lt;TODAY(),"딜레이","진행중"),IF(P260&lt;TODAY(),"딜레이",IF(TODAY()&gt;=DATE(YEAR(P260),MONTH(P260)-2,1),"임박","예정")))))</f>
        <v/>
      </c>
      <c r="R260" s="19">
        <f>IF(OR(N260="완료",N260="보류"),"-",IF(P260&lt;TODAY(),TODAY()-P260,""))</f>
        <v/>
      </c>
    </row>
    <row r="261" ht="18" customHeight="1">
      <c r="A261" s="14" t="inlineStr">
        <is>
          <t>외부 플레이테스트 3회</t>
        </is>
      </c>
      <c r="B261" s="16" t="n"/>
      <c r="C261" s="16" t="n"/>
      <c r="D261" s="36" t="n"/>
      <c r="E261" s="16" t="n"/>
      <c r="F261" s="16" t="n"/>
      <c r="G261" s="16" t="n"/>
      <c r="H261" s="16" t="n"/>
      <c r="I261" s="16" t="n"/>
      <c r="J261" s="16" t="n"/>
      <c r="K261" s="16" t="n"/>
      <c r="L261" s="16" t="n"/>
      <c r="M261" s="17">
        <f>_xlfn.XLOOKUP(A261,'작업관리'!B:B,'작업관리'!E:E,"")</f>
        <v/>
      </c>
      <c r="N261" s="17">
        <f>_xlfn.XLOOKUP(A261,'작업관리'!B:B,'작업관리'!F:F,"")</f>
        <v/>
      </c>
      <c r="O261" s="17">
        <f>_xlfn.XLOOKUP(A261,'작업관리'!B:B,'작업관리'!G:G,"")</f>
        <v/>
      </c>
      <c r="P261" s="18" t="n">
        <v>46387</v>
      </c>
      <c r="Q261" s="17">
        <f>IF(N261="완료","완료",IF(N261="보류","보류",IF(N261="진행 중",IF(P261&lt;TODAY(),"딜레이","진행중"),IF(P261&lt;TODAY(),"딜레이",IF(TODAY()&gt;=DATE(YEAR(P261),MONTH(P261)-2,1),"임박","예정")))))</f>
        <v/>
      </c>
      <c r="R261" s="19">
        <f>IF(OR(N261="완료",N261="보류"),"-",IF(P261&lt;TODAY(),TODAY()-P261,""))</f>
        <v/>
      </c>
    </row>
    <row r="262" ht="18" customHeight="1">
      <c r="A262" s="14" t="inlineStr">
        <is>
          <t>Addressables 도입</t>
        </is>
      </c>
      <c r="B262" s="16" t="n"/>
      <c r="C262" s="16" t="n"/>
      <c r="D262" s="16" t="n"/>
      <c r="E262" s="16" t="n"/>
      <c r="F262" s="23" t="n"/>
      <c r="G262" s="16" t="n"/>
      <c r="H262" s="16" t="n"/>
      <c r="I262" s="16" t="n"/>
      <c r="J262" s="16" t="n"/>
      <c r="K262" s="16" t="n"/>
      <c r="L262" s="16" t="n"/>
      <c r="M262" s="17">
        <f>_xlfn.XLOOKUP(A262,'작업관리'!B:B,'작업관리'!E:E,"")</f>
        <v/>
      </c>
      <c r="N262" s="17">
        <f>_xlfn.XLOOKUP(A262,'작업관리'!B:B,'작업관리'!F:F,"")</f>
        <v/>
      </c>
      <c r="O262" s="17">
        <f>_xlfn.XLOOKUP(A262,'작업관리'!B:B,'작업관리'!G:G,"")</f>
        <v/>
      </c>
      <c r="P262" s="18" t="n">
        <v>46568</v>
      </c>
      <c r="Q262" s="17">
        <f>IF(N262="완료","완료",IF(N262="보류","보류",IF(N262="진행 중",IF(P262&lt;TODAY(),"딜레이","진행중"),IF(P262&lt;TODAY(),"딜레이",IF(TODAY()&gt;=DATE(YEAR(P262),MONTH(P262)-2,1),"임박","예정")))))</f>
        <v/>
      </c>
      <c r="R262" s="19">
        <f>IF(OR(N262="완료",N262="보류"),"-",IF(P262&lt;TODAY(),TODAY()-P262,""))</f>
        <v/>
      </c>
    </row>
    <row r="263" ht="18" customHeight="1">
      <c r="A263" s="14" t="inlineStr">
        <is>
          <t>Localization 1.5 (한·영)</t>
        </is>
      </c>
      <c r="B263" s="16" t="n"/>
      <c r="C263" s="16" t="n"/>
      <c r="D263" s="16" t="n"/>
      <c r="E263" s="16" t="n"/>
      <c r="F263" s="23" t="n"/>
      <c r="G263" s="16" t="n"/>
      <c r="H263" s="16" t="n"/>
      <c r="I263" s="16" t="n"/>
      <c r="J263" s="16" t="n"/>
      <c r="K263" s="16" t="n"/>
      <c r="L263" s="16" t="n"/>
      <c r="M263" s="17">
        <f>_xlfn.XLOOKUP(A263,'작업관리'!B:B,'작업관리'!E:E,"")</f>
        <v/>
      </c>
      <c r="N263" s="17">
        <f>_xlfn.XLOOKUP(A263,'작업관리'!B:B,'작업관리'!F:F,"")</f>
        <v/>
      </c>
      <c r="O263" s="17">
        <f>_xlfn.XLOOKUP(A263,'작업관리'!B:B,'작업관리'!G:G,"")</f>
        <v/>
      </c>
      <c r="P263" s="18" t="n">
        <v>46568</v>
      </c>
      <c r="Q263" s="17">
        <f>IF(N263="완료","완료",IF(N263="보류","보류",IF(N263="진행 중",IF(P263&lt;TODAY(),"딜레이","진행중"),IF(P263&lt;TODAY(),"딜레이",IF(TODAY()&gt;=DATE(YEAR(P263),MONTH(P263)-2,1),"임박","예정")))))</f>
        <v/>
      </c>
      <c r="R263" s="19">
        <f>IF(OR(N263="완료",N263="보류"),"-",IF(P263&lt;TODAY(),TODAY()-P263,""))</f>
        <v/>
      </c>
    </row>
    <row r="264" ht="18" customHeight="1">
      <c r="A264" s="14" t="inlineStr">
        <is>
          <t>Steam 페이지 오픈</t>
        </is>
      </c>
      <c r="B264" s="16" t="n"/>
      <c r="C264" s="16" t="n"/>
      <c r="D264" s="16" t="n"/>
      <c r="E264" s="16" t="n"/>
      <c r="F264" s="23" t="n"/>
      <c r="G264" s="16" t="n"/>
      <c r="H264" s="16" t="n"/>
      <c r="I264" s="16" t="n"/>
      <c r="J264" s="16" t="n"/>
      <c r="K264" s="16" t="n"/>
      <c r="L264" s="16" t="n"/>
      <c r="M264" s="17">
        <f>_xlfn.XLOOKUP(A264,'작업관리'!B:B,'작업관리'!E:E,"")</f>
        <v/>
      </c>
      <c r="N264" s="17">
        <f>_xlfn.XLOOKUP(A264,'작업관리'!B:B,'작업관리'!F:F,"")</f>
        <v/>
      </c>
      <c r="O264" s="17">
        <f>_xlfn.XLOOKUP(A264,'작업관리'!B:B,'작업관리'!G:G,"")</f>
        <v/>
      </c>
      <c r="P264" s="18" t="n">
        <v>46568</v>
      </c>
      <c r="Q264" s="17">
        <f>IF(N264="완료","완료",IF(N264="보류","보류",IF(N264="진행 중",IF(P264&lt;TODAY(),"딜레이","진행중"),IF(P264&lt;TODAY(),"딜레이",IF(TODAY()&gt;=DATE(YEAR(P264),MONTH(P264)-2,1),"임박","예정")))))</f>
        <v/>
      </c>
      <c r="R264" s="19">
        <f>IF(OR(N264="완료",N264="보류"),"-",IF(P264&lt;TODAY(),TODAY()-P264,""))</f>
        <v/>
      </c>
    </row>
    <row r="265" ht="18" customHeight="1">
      <c r="A265" s="14" t="inlineStr">
        <is>
          <t>Steam Cloud Save</t>
        </is>
      </c>
      <c r="B265" s="16" t="n"/>
      <c r="C265" s="16" t="n"/>
      <c r="D265" s="16" t="n"/>
      <c r="E265" s="16" t="n"/>
      <c r="F265" s="16" t="n"/>
      <c r="G265" s="40" t="n"/>
      <c r="H265" s="16" t="n"/>
      <c r="I265" s="16" t="n"/>
      <c r="J265" s="16" t="n"/>
      <c r="K265" s="16" t="n"/>
      <c r="L265" s="16" t="n"/>
      <c r="M265" s="17">
        <f>_xlfn.XLOOKUP(A265,'작업관리'!B:B,'작업관리'!E:E,"")</f>
        <v/>
      </c>
      <c r="N265" s="17">
        <f>_xlfn.XLOOKUP(A265,'작업관리'!B:B,'작업관리'!F:F,"")</f>
        <v/>
      </c>
      <c r="O265" s="17">
        <f>_xlfn.XLOOKUP(A265,'작업관리'!B:B,'작업관리'!G:G,"")</f>
        <v/>
      </c>
      <c r="P265" s="18" t="n">
        <v>46660</v>
      </c>
      <c r="Q265" s="17">
        <f>IF(N265="완료","완료",IF(N265="보류","보류",IF(N265="진행 중",IF(P265&lt;TODAY(),"딜레이","진행중"),IF(P265&lt;TODAY(),"딜레이",IF(TODAY()&gt;=DATE(YEAR(P265),MONTH(P265)-2,1),"임박","예정")))))</f>
        <v/>
      </c>
      <c r="R265" s="19">
        <f>IF(OR(N265="완료",N265="보류"),"-",IF(P265&lt;TODAY(),TODAY()-P265,""))</f>
        <v/>
      </c>
    </row>
    <row r="266" ht="18" customHeight="1">
      <c r="A266" s="14" t="inlineStr">
        <is>
          <t>Steam Achievements API</t>
        </is>
      </c>
      <c r="B266" s="16" t="n"/>
      <c r="C266" s="16" t="n"/>
      <c r="D266" s="16" t="n"/>
      <c r="E266" s="16" t="n"/>
      <c r="F266" s="16" t="n"/>
      <c r="G266" s="40" t="n"/>
      <c r="H266" s="16" t="n"/>
      <c r="I266" s="16" t="n"/>
      <c r="J266" s="16" t="n"/>
      <c r="K266" s="16" t="n"/>
      <c r="L266" s="16" t="n"/>
      <c r="M266" s="17">
        <f>_xlfn.XLOOKUP(A266,'작업관리'!B:B,'작업관리'!E:E,"")</f>
        <v/>
      </c>
      <c r="N266" s="17">
        <f>_xlfn.XLOOKUP(A266,'작업관리'!B:B,'작업관리'!F:F,"")</f>
        <v/>
      </c>
      <c r="O266" s="17">
        <f>_xlfn.XLOOKUP(A266,'작업관리'!B:B,'작업관리'!G:G,"")</f>
        <v/>
      </c>
      <c r="P266" s="18" t="n">
        <v>46660</v>
      </c>
      <c r="Q266" s="17">
        <f>IF(N266="완료","완료",IF(N266="보류","보류",IF(N266="진행 중",IF(P266&lt;TODAY(),"딜레이","진행중"),IF(P266&lt;TODAY(),"딜레이",IF(TODAY()&gt;=DATE(YEAR(P266),MONTH(P266)-2,1),"임박","예정")))))</f>
        <v/>
      </c>
      <c r="R266" s="19">
        <f>IF(OR(N266="완료",N266="보류"),"-",IF(P266&lt;TODAY(),TODAY()-P266,""))</f>
        <v/>
      </c>
    </row>
    <row r="267" ht="18" customHeight="1">
      <c r="A267" s="14" t="inlineStr">
        <is>
          <t>EA Steam 출시 (PG4 통과 후 · 2027 Q3 조건부)</t>
        </is>
      </c>
      <c r="B267" s="16" t="n"/>
      <c r="C267" s="16" t="n"/>
      <c r="D267" s="16" t="n"/>
      <c r="E267" s="16" t="n"/>
      <c r="F267" s="16" t="n"/>
      <c r="G267" s="43" t="inlineStr">
        <is>
          <t>★</t>
        </is>
      </c>
      <c r="H267" s="16" t="n"/>
      <c r="I267" s="16" t="n"/>
      <c r="J267" s="16" t="n"/>
      <c r="K267" s="16" t="n"/>
      <c r="L267" s="16" t="n"/>
      <c r="M267" s="17">
        <f>_xlfn.XLOOKUP(A267,'작업관리'!B:B,'작업관리'!E:E,"")</f>
        <v/>
      </c>
      <c r="N267" s="17">
        <f>_xlfn.XLOOKUP(A267,'작업관리'!B:B,'작업관리'!F:F,"")</f>
        <v/>
      </c>
      <c r="O267" s="17">
        <f>_xlfn.XLOOKUP(A267,'작업관리'!B:B,'작업관리'!G:G,"")</f>
        <v/>
      </c>
      <c r="P267" s="18" t="n">
        <v>46660</v>
      </c>
      <c r="Q267" s="17">
        <f>IF(N267="완료","완료",IF(N267="보류","보류",IF(N267="진행 중",IF(P267&lt;TODAY(),"딜레이","진행중"),IF(P267&lt;TODAY(),"딜레이",IF(TODAY()&gt;=DATE(YEAR(P267),MONTH(P267)-2,1),"임박","예정")))))</f>
        <v/>
      </c>
      <c r="R267" s="19">
        <f>IF(OR(N267="완료",N267="보류"),"-",IF(P267&lt;TODAY(),TODAY()-P267,""))</f>
        <v/>
      </c>
    </row>
    <row r="268" ht="18" customHeight="1">
      <c r="A268" s="14" t="inlineStr">
        <is>
          <t>출시 전 데모 행사 검토 (PG3 · 일정/참가 조건 별도 확인)</t>
        </is>
      </c>
      <c r="B268" s="16" t="n"/>
      <c r="C268" s="16" t="n"/>
      <c r="D268" s="16" t="n"/>
      <c r="E268" s="16" t="n"/>
      <c r="F268" s="16" t="n"/>
      <c r="G268" s="40" t="n"/>
      <c r="H268" s="16" t="n"/>
      <c r="I268" s="16" t="n"/>
      <c r="J268" s="16" t="n"/>
      <c r="K268" s="16" t="n"/>
      <c r="L268" s="16" t="n"/>
      <c r="M268" s="17">
        <f>_xlfn.XLOOKUP(A268,'작업관리'!B:B,'작업관리'!E:E,"")</f>
        <v/>
      </c>
      <c r="N268" s="17">
        <f>_xlfn.XLOOKUP(A268,'작업관리'!B:B,'작업관리'!F:F,"")</f>
        <v/>
      </c>
      <c r="O268" s="17">
        <f>_xlfn.XLOOKUP(A268,'작업관리'!B:B,'작업관리'!G:G,"")</f>
        <v/>
      </c>
      <c r="P268" s="18" t="n">
        <v>46660</v>
      </c>
      <c r="Q268" s="17">
        <f>IF(N268="완료","완료",IF(N268="보류","보류",IF(N268="진행 중",IF(P268&lt;TODAY(),"딜레이","진행중"),IF(P268&lt;TODAY(),"딜레이",IF(TODAY()&gt;=DATE(YEAR(P268),MONTH(P268)-2,1),"임박","예정")))))</f>
        <v/>
      </c>
      <c r="R268" s="19">
        <f>IF(OR(N268="완료",N268="보류"),"-",IF(P268&lt;TODAY(),TODAY()-P268,""))</f>
        <v/>
      </c>
    </row>
    <row r="269" ht="18" customHeight="1">
      <c r="A269" s="14" t="inlineStr">
        <is>
          <t>1차 메이저 패치 (밸런스+스킬 5~10)</t>
        </is>
      </c>
      <c r="B269" s="16" t="n"/>
      <c r="C269" s="16" t="n"/>
      <c r="D269" s="16" t="n"/>
      <c r="E269" s="16" t="n"/>
      <c r="F269" s="16" t="n"/>
      <c r="G269" s="16" t="n"/>
      <c r="H269" s="23" t="n"/>
      <c r="I269" s="16" t="n"/>
      <c r="J269" s="16" t="n"/>
      <c r="K269" s="16" t="n"/>
      <c r="L269" s="16" t="n"/>
      <c r="M269" s="17">
        <f>_xlfn.XLOOKUP(A269,'작업관리'!B:B,'작업관리'!E:E,"")</f>
        <v/>
      </c>
      <c r="N269" s="17">
        <f>_xlfn.XLOOKUP(A269,'작업관리'!B:B,'작업관리'!F:F,"")</f>
        <v/>
      </c>
      <c r="O269" s="17">
        <f>_xlfn.XLOOKUP(A269,'작업관리'!B:B,'작업관리'!G:G,"")</f>
        <v/>
      </c>
      <c r="P269" s="18" t="n">
        <v>46752</v>
      </c>
      <c r="Q269" s="17">
        <f>IF(N269="완료","완료",IF(N269="보류","보류",IF(N269="진행 중",IF(P269&lt;TODAY(),"딜레이","진행중"),IF(P269&lt;TODAY(),"딜레이",IF(TODAY()&gt;=DATE(YEAR(P269),MONTH(P269)-2,1),"임박","예정")))))</f>
        <v/>
      </c>
      <c r="R269" s="19">
        <f>IF(OR(N269="완료",N269="보류"),"-",IF(P269&lt;TODAY(),TODAY()-P269,""))</f>
        <v/>
      </c>
    </row>
    <row r="270" ht="18" customHeight="1">
      <c r="A270" s="14" t="inlineStr">
        <is>
          <t>난이도 티어 4단계 (Easy~Abyssal)</t>
        </is>
      </c>
      <c r="B270" s="16" t="n"/>
      <c r="C270" s="16" t="n"/>
      <c r="D270" s="16" t="n"/>
      <c r="E270" s="16" t="n"/>
      <c r="F270" s="16" t="n"/>
      <c r="G270" s="16" t="n"/>
      <c r="H270" s="16" t="n"/>
      <c r="I270" s="16" t="n"/>
      <c r="J270" s="24" t="n"/>
      <c r="K270" s="16" t="n"/>
      <c r="L270" s="16" t="n"/>
      <c r="M270" s="17">
        <f>_xlfn.XLOOKUP(A270,'작업관리'!B:B,'작업관리'!E:E,"")</f>
        <v/>
      </c>
      <c r="N270" s="17">
        <f>_xlfn.XLOOKUP(A270,'작업관리'!B:B,'작업관리'!F:F,"")</f>
        <v/>
      </c>
      <c r="O270" s="17">
        <f>_xlfn.XLOOKUP(A270,'작업관리'!B:B,'작업관리'!G:G,"")</f>
        <v/>
      </c>
      <c r="P270" s="18" t="n">
        <v>46934</v>
      </c>
      <c r="Q270" s="17">
        <f>IF(N270="완료","완료",IF(N270="보류","보류",IF(N270="진행 중",IF(P270&lt;TODAY(),"딜레이","진행중"),IF(P270&lt;TODAY(),"딜레이",IF(TODAY()&gt;=DATE(YEAR(P270),MONTH(P270)-2,1),"임박","예정")))))</f>
        <v/>
      </c>
      <c r="R270" s="19">
        <f>IF(OR(N270="완료",N270="보류"),"-",IF(P270&lt;TODAY(),TODAY()-P270,""))</f>
        <v/>
      </c>
    </row>
    <row r="271" ht="18" customHeight="1">
      <c r="A271" s="14" t="inlineStr">
        <is>
          <t>기본 글자·대비·흔들림 데모 전 / 확장 접근성 후속</t>
        </is>
      </c>
      <c r="B271" s="16" t="n"/>
      <c r="C271" s="16" t="n"/>
      <c r="D271" s="16" t="n"/>
      <c r="E271" s="16" t="n"/>
      <c r="F271" s="16" t="n"/>
      <c r="G271" s="16" t="n"/>
      <c r="H271" s="16" t="n"/>
      <c r="I271" s="16" t="n"/>
      <c r="J271" s="24" t="n"/>
      <c r="K271" s="16" t="n"/>
      <c r="L271" s="16" t="n"/>
      <c r="M271" s="17">
        <f>_xlfn.XLOOKUP(A271,'작업관리'!B:B,'작업관리'!E:E,"")</f>
        <v/>
      </c>
      <c r="N271" s="17">
        <f>_xlfn.XLOOKUP(A271,'작업관리'!B:B,'작업관리'!F:F,"")</f>
        <v/>
      </c>
      <c r="O271" s="17">
        <f>_xlfn.XLOOKUP(A271,'작업관리'!B:B,'작업관리'!G:G,"")</f>
        <v/>
      </c>
      <c r="P271" s="18" t="n">
        <v>46934</v>
      </c>
      <c r="Q271" s="17">
        <f>IF(N271="완료","완료",IF(N271="보류","보류",IF(N271="진행 중",IF(P271&lt;TODAY(),"딜레이","진행중"),IF(P271&lt;TODAY(),"딜레이",IF(TODAY()&gt;=DATE(YEAR(P271),MONTH(P271)-2,1),"임박","예정")))))</f>
        <v/>
      </c>
      <c r="R271" s="19">
        <f>IF(OR(N271="완료",N271="보류"),"-",IF(P271&lt;TODAY(),TODAY()-P271,""))</f>
        <v/>
      </c>
    </row>
    <row r="272" ht="18" customHeight="1">
      <c r="A272" s="14" t="inlineStr">
        <is>
          <t>Localization 4언어 (한·영·일·중)</t>
        </is>
      </c>
      <c r="B272" s="16" t="n"/>
      <c r="C272" s="16" t="n"/>
      <c r="D272" s="16" t="n"/>
      <c r="E272" s="16" t="n"/>
      <c r="F272" s="16" t="n"/>
      <c r="G272" s="16" t="n"/>
      <c r="H272" s="16" t="n"/>
      <c r="I272" s="16" t="n"/>
      <c r="J272" s="16" t="n"/>
      <c r="K272" s="25" t="n"/>
      <c r="L272" s="16" t="n"/>
      <c r="M272" s="17">
        <f>_xlfn.XLOOKUP(A272,'작업관리'!B:B,'작업관리'!E:E,"")</f>
        <v/>
      </c>
      <c r="N272" s="17">
        <f>_xlfn.XLOOKUP(A272,'작업관리'!B:B,'작업관리'!F:F,"")</f>
        <v/>
      </c>
      <c r="O272" s="17">
        <f>_xlfn.XLOOKUP(A272,'작업관리'!B:B,'작업관리'!G:G,"")</f>
        <v/>
      </c>
      <c r="P272" s="18" t="n">
        <v>47026</v>
      </c>
      <c r="Q272" s="17">
        <f>IF(N272="완료","완료",IF(N272="보류","보류",IF(N272="진행 중",IF(P272&lt;TODAY(),"딜레이","진행중"),IF(P272&lt;TODAY(),"딜레이",IF(TODAY()&gt;=DATE(YEAR(P272),MONTH(P272)-2,1),"임박","예정")))))</f>
        <v/>
      </c>
      <c r="R272" s="19">
        <f>IF(OR(N272="완료",N272="보류"),"-",IF(P272&lt;TODAY(),TODAY()-P272,""))</f>
        <v/>
      </c>
    </row>
    <row r="273" ht="18" customHeight="1">
      <c r="A273" s="14" t="inlineStr">
        <is>
          <t>외주 QA 1차 패스</t>
        </is>
      </c>
      <c r="B273" s="16" t="n"/>
      <c r="C273" s="16" t="n"/>
      <c r="D273" s="16" t="n"/>
      <c r="E273" s="16" t="n"/>
      <c r="F273" s="16" t="n"/>
      <c r="G273" s="16" t="n"/>
      <c r="H273" s="16" t="n"/>
      <c r="I273" s="16" t="n"/>
      <c r="J273" s="16" t="n"/>
      <c r="K273" s="25" t="n"/>
      <c r="L273" s="16" t="n"/>
      <c r="M273" s="17">
        <f>_xlfn.XLOOKUP(A273,'작업관리'!B:B,'작업관리'!E:E,"")</f>
        <v/>
      </c>
      <c r="N273" s="17">
        <f>_xlfn.XLOOKUP(A273,'작업관리'!B:B,'작업관리'!F:F,"")</f>
        <v/>
      </c>
      <c r="O273" s="17">
        <f>_xlfn.XLOOKUP(A273,'작업관리'!B:B,'작업관리'!G:G,"")</f>
        <v/>
      </c>
      <c r="P273" s="18" t="n">
        <v>47026</v>
      </c>
      <c r="Q273" s="17">
        <f>IF(N273="완료","완료",IF(N273="보류","보류",IF(N273="진행 중",IF(P273&lt;TODAY(),"딜레이","진행중"),IF(P273&lt;TODAY(),"딜레이",IF(TODAY()&gt;=DATE(YEAR(P273),MONTH(P273)-2,1),"임박","예정")))))</f>
        <v/>
      </c>
      <c r="R273" s="19">
        <f>IF(OR(N273="완료",N273="보류"),"-",IF(P273&lt;TODAY(),TODAY()-P273,""))</f>
        <v/>
      </c>
    </row>
    <row r="274" ht="18" customHeight="1">
      <c r="A274" s="14" t="inlineStr">
        <is>
          <t>매주 도전 모드 + 리더보드</t>
        </is>
      </c>
      <c r="B274" s="16" t="n"/>
      <c r="C274" s="16" t="n"/>
      <c r="D274" s="16" t="n"/>
      <c r="E274" s="16" t="n"/>
      <c r="F274" s="16" t="n"/>
      <c r="G274" s="16" t="n"/>
      <c r="H274" s="16" t="n"/>
      <c r="I274" s="16" t="n"/>
      <c r="J274" s="16" t="n"/>
      <c r="K274" s="16" t="n"/>
      <c r="L274" s="41" t="n"/>
      <c r="M274" s="17">
        <f>_xlfn.XLOOKUP(A274,'작업관리'!B:B,'작업관리'!E:E,"")</f>
        <v/>
      </c>
      <c r="N274" s="17">
        <f>_xlfn.XLOOKUP(A274,'작업관리'!B:B,'작업관리'!F:F,"")</f>
        <v/>
      </c>
      <c r="O274" s="17">
        <f>_xlfn.XLOOKUP(A274,'작업관리'!B:B,'작업관리'!G:G,"")</f>
        <v/>
      </c>
      <c r="P274" s="18" t="n">
        <v>47118</v>
      </c>
      <c r="Q274" s="17">
        <f>IF(N274="완료","완료",IF(N274="보류","보류",IF(N274="진행 중",IF(P274&lt;TODAY(),"딜레이","진행중"),IF(P274&lt;TODAY(),"딜레이",IF(TODAY()&gt;=DATE(YEAR(P274),MONTH(P274)-2,1),"임박","예정")))))</f>
        <v/>
      </c>
      <c r="R274" s="19">
        <f>IF(OR(N274="완료",N274="보류"),"-",IF(P274&lt;TODAY(),TODAY()-P274,""))</f>
        <v/>
      </c>
    </row>
    <row r="275" ht="18" customHeight="1">
      <c r="A275" s="14" t="inlineStr">
        <is>
          <t>콘솔 포팅 사전 검토 (Switch/PS5)</t>
        </is>
      </c>
      <c r="B275" s="16" t="n"/>
      <c r="C275" s="16" t="n"/>
      <c r="D275" s="16" t="n"/>
      <c r="E275" s="16" t="n"/>
      <c r="F275" s="16" t="n"/>
      <c r="G275" s="16" t="n"/>
      <c r="H275" s="16" t="n"/>
      <c r="I275" s="16" t="n"/>
      <c r="J275" s="16" t="n"/>
      <c r="K275" s="16" t="n"/>
      <c r="L275" s="41" t="n"/>
      <c r="M275" s="17">
        <f>_xlfn.XLOOKUP(A275,'작업관리'!B:B,'작업관리'!E:E,"")</f>
        <v/>
      </c>
      <c r="N275" s="17">
        <f>_xlfn.XLOOKUP(A275,'작업관리'!B:B,'작업관리'!F:F,"")</f>
        <v/>
      </c>
      <c r="O275" s="17">
        <f>_xlfn.XLOOKUP(A275,'작업관리'!B:B,'작업관리'!G:G,"")</f>
        <v/>
      </c>
      <c r="P275" s="18" t="n">
        <v>47118</v>
      </c>
      <c r="Q275" s="17">
        <f>IF(N275="완료","완료",IF(N275="보류","보류",IF(N275="진행 중",IF(P275&lt;TODAY(),"딜레이","진행중"),IF(P275&lt;TODAY(),"딜레이",IF(TODAY()&gt;=DATE(YEAR(P275),MONTH(P275)-2,1),"임박","예정")))))</f>
        <v/>
      </c>
      <c r="R275" s="19">
        <f>IF(OR(N275="완료",N275="보류"),"-",IF(P275&lt;TODAY(),TODAY()-P275,""))</f>
        <v/>
      </c>
    </row>
    <row r="276" ht="18" customHeight="1">
      <c r="A276" s="14" t="inlineStr">
        <is>
          <t>v1.0 정식 출시 (PG5 통과 후 · 2028 Q4 조건부)</t>
        </is>
      </c>
      <c r="B276" s="16" t="n"/>
      <c r="C276" s="16" t="n"/>
      <c r="D276" s="16" t="n"/>
      <c r="E276" s="16" t="n"/>
      <c r="F276" s="16" t="n"/>
      <c r="G276" s="16" t="n"/>
      <c r="H276" s="16" t="n"/>
      <c r="I276" s="16" t="n"/>
      <c r="J276" s="16" t="n"/>
      <c r="K276" s="16" t="n"/>
      <c r="L276" s="43" t="inlineStr">
        <is>
          <t>★</t>
        </is>
      </c>
      <c r="M276" s="17">
        <f>_xlfn.XLOOKUP(A276,'작업관리'!B:B,'작업관리'!E:E,"")</f>
        <v/>
      </c>
      <c r="N276" s="17">
        <f>_xlfn.XLOOKUP(A276,'작업관리'!B:B,'작업관리'!F:F,"")</f>
        <v/>
      </c>
      <c r="O276" s="17">
        <f>_xlfn.XLOOKUP(A276,'작업관리'!B:B,'작업관리'!G:G,"")</f>
        <v/>
      </c>
      <c r="P276" s="18" t="n">
        <v>47118</v>
      </c>
      <c r="Q276" s="17">
        <f>IF(N276="완료","완료",IF(N276="보류","보류",IF(N276="진행 중",IF(P276&lt;TODAY(),"딜레이","진행중"),IF(P276&lt;TODAY(),"딜레이",IF(TODAY()&gt;=DATE(YEAR(P276),MONTH(P276)-2,1),"임박","예정")))))</f>
        <v/>
      </c>
      <c r="R276" s="19">
        <f>IF(OR(N276="완료",N276="보류"),"-",IF(P276&lt;TODAY(),TODAY()-P276,""))</f>
        <v/>
      </c>
    </row>
  </sheetData>
  <mergeCells count="11">
    <mergeCell ref="A3:R3"/>
    <mergeCell ref="A187:R187"/>
    <mergeCell ref="A231:R231"/>
    <mergeCell ref="A25:R25"/>
    <mergeCell ref="A43:R43"/>
    <mergeCell ref="A65:R65"/>
    <mergeCell ref="A199:R199"/>
    <mergeCell ref="A14:R14"/>
    <mergeCell ref="A94:R94"/>
    <mergeCell ref="A83:R83"/>
    <mergeCell ref="A34:R34"/>
  </mergeCells>
  <conditionalFormatting sqref="A3:R276">
    <cfRule type="expression" priority="1" dxfId="0">
      <formula>$N3="완료"</formula>
    </cfRule>
  </conditionalFormatting>
  <conditionalFormatting sqref="Q3:Q276">
    <cfRule type="expression" priority="2" dxfId="1">
      <formula>Q3="딜레이"</formula>
    </cfRule>
    <cfRule type="expression" priority="3" dxfId="2">
      <formula>Q3="진행중"</formula>
    </cfRule>
    <cfRule type="expression" priority="4" dxfId="3">
      <formula>Q3="임박"</formula>
    </cfRule>
    <cfRule type="expression" priority="5" dxfId="4">
      <formula>Q3="완료"</formula>
    </cfRule>
    <cfRule type="expression" priority="6" dxfId="5">
      <formula>Q3="예정"</formula>
    </cfRule>
  </conditionalFormatting>
  <conditionalFormatting sqref="B1:B2">
    <cfRule type="expression" priority="7" dxfId="6">
      <formula>AND(TODAY()&gt;=DATE(2026,6,1),TODAY()&lt;=DATE(2026,6,30))</formula>
    </cfRule>
  </conditionalFormatting>
  <conditionalFormatting sqref="C1:C2">
    <cfRule type="expression" priority="8" dxfId="6">
      <formula>AND(TODAY()&gt;=DATE(2026,7,1),TODAY()&lt;=DATE(2026,9,30))</formula>
    </cfRule>
  </conditionalFormatting>
  <conditionalFormatting sqref="D1:D2">
    <cfRule type="expression" priority="9" dxfId="6">
      <formula>AND(TODAY()&gt;=DATE(2026,10,1),TODAY()&lt;=DATE(2026,12,31))</formula>
    </cfRule>
  </conditionalFormatting>
  <conditionalFormatting sqref="E1:E2">
    <cfRule type="expression" priority="10" dxfId="6">
      <formula>AND(TODAY()&gt;=DATE(2027,1,1),TODAY()&lt;=DATE(2027,3,31))</formula>
    </cfRule>
  </conditionalFormatting>
  <conditionalFormatting sqref="F1:F2">
    <cfRule type="expression" priority="11" dxfId="6">
      <formula>AND(TODAY()&gt;=DATE(2027,4,1),TODAY()&lt;=DATE(2027,6,30))</formula>
    </cfRule>
  </conditionalFormatting>
  <conditionalFormatting sqref="G1:G2">
    <cfRule type="expression" priority="12" dxfId="6">
      <formula>AND(TODAY()&gt;=DATE(2027,7,1),TODAY()&lt;=DATE(2027,9,30))</formula>
    </cfRule>
  </conditionalFormatting>
  <conditionalFormatting sqref="H1:H2">
    <cfRule type="expression" priority="13" dxfId="6">
      <formula>AND(TODAY()&gt;=DATE(2027,10,1),TODAY()&lt;=DATE(2027,12,31))</formula>
    </cfRule>
  </conditionalFormatting>
  <conditionalFormatting sqref="I1:I2">
    <cfRule type="expression" priority="14" dxfId="6">
      <formula>AND(TODAY()&gt;=DATE(2028,1,1),TODAY()&lt;=DATE(2028,3,31))</formula>
    </cfRule>
  </conditionalFormatting>
  <conditionalFormatting sqref="J1:J2">
    <cfRule type="expression" priority="15" dxfId="6">
      <formula>AND(TODAY()&gt;=DATE(2028,4,1),TODAY()&lt;=DATE(2028,6,30))</formula>
    </cfRule>
  </conditionalFormatting>
  <conditionalFormatting sqref="K1:K2">
    <cfRule type="expression" priority="16" dxfId="6">
      <formula>AND(TODAY()&gt;=DATE(2028,7,1),TODAY()&lt;=DATE(2028,9,30))</formula>
    </cfRule>
  </conditionalFormatting>
  <conditionalFormatting sqref="L1:L2">
    <cfRule type="expression" priority="17" dxfId="6">
      <formula>AND(TODAY()&gt;=DATE(2028,10,1),TODAY()&lt;=DATE(2028,12,31))</formula>
    </cfRule>
  </conditionalFormatting>
  <hyperlinks>
    <hyperlink xmlns:r="http://schemas.openxmlformats.org/officeDocument/2006/relationships" ref="A3" r:id="rId1"/>
    <hyperlink xmlns:r="http://schemas.openxmlformats.org/officeDocument/2006/relationships" ref="A14" r:id="rId2"/>
    <hyperlink xmlns:r="http://schemas.openxmlformats.org/officeDocument/2006/relationships" ref="A25" r:id="rId3"/>
    <hyperlink xmlns:r="http://schemas.openxmlformats.org/officeDocument/2006/relationships" ref="A34" r:id="rId4"/>
    <hyperlink xmlns:r="http://schemas.openxmlformats.org/officeDocument/2006/relationships" ref="A43" r:id="rId5"/>
    <hyperlink xmlns:r="http://schemas.openxmlformats.org/officeDocument/2006/relationships" ref="A65" r:id="rId6"/>
    <hyperlink xmlns:r="http://schemas.openxmlformats.org/officeDocument/2006/relationships" ref="A83" r:id="rId7"/>
    <hyperlink xmlns:r="http://schemas.openxmlformats.org/officeDocument/2006/relationships" ref="A94" r:id="rId8"/>
    <hyperlink xmlns:r="http://schemas.openxmlformats.org/officeDocument/2006/relationships" ref="A187" r:id="rId9"/>
    <hyperlink xmlns:r="http://schemas.openxmlformats.org/officeDocument/2006/relationships" ref="A199" r:id="rId10"/>
    <hyperlink xmlns:r="http://schemas.openxmlformats.org/officeDocument/2006/relationships" ref="A231" r:id="rId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5"/>
  <sheetViews>
    <sheetView workbookViewId="0">
      <pane ySplit="2" topLeftCell="A3" activePane="bottomLeft" state="frozen"/>
      <selection pane="bottomLeft" activeCell="A1" sqref="A1"/>
    </sheetView>
  </sheetViews>
  <sheetFormatPr baseColWidth="8" defaultRowHeight="15"/>
  <cols>
    <col width="12" customWidth="1" min="1" max="1"/>
    <col width="52" customWidth="1" min="2" max="2"/>
    <col width="20" customWidth="1" min="3" max="3"/>
    <col width="22" customWidth="1" min="4" max="4"/>
    <col width="14" customWidth="1" min="5" max="5"/>
    <col width="12" customWidth="1" min="6" max="6"/>
    <col width="14" customWidth="1" min="7" max="7"/>
    <col width="20" customWidth="1" min="8" max="8"/>
  </cols>
  <sheetData>
    <row r="1" ht="28" customHeight="1">
      <c r="A1" s="44" t="inlineStr">
        <is>
          <t>사용법: E열에 작업자 입력 / F열 드롭다운에서 상태 선택 / 완료 시 G열에 Ctrl+; (오늘 날짜 정적 입력) → Content Gantt 시트에 자동 반영</t>
        </is>
      </c>
    </row>
    <row r="2" ht="20" customHeight="1">
      <c r="A2" s="45" t="inlineStr">
        <is>
          <t>콘텐츠 ID</t>
        </is>
      </c>
      <c r="B2" s="45" t="inlineStr">
        <is>
          <t>콘텐츠명</t>
        </is>
      </c>
      <c r="C2" s="45" t="inlineStr">
        <is>
          <t>카테고리</t>
        </is>
      </c>
      <c r="D2" s="45" t="inlineStr">
        <is>
          <t>계획 분기</t>
        </is>
      </c>
      <c r="E2" s="45" t="inlineStr">
        <is>
          <t>작업자</t>
        </is>
      </c>
      <c r="F2" s="45" t="inlineStr">
        <is>
          <t>상태</t>
        </is>
      </c>
      <c r="G2" s="45" t="inlineStr">
        <is>
          <t>완료일시</t>
        </is>
      </c>
      <c r="H2" s="45" t="inlineStr">
        <is>
          <t>비고</t>
        </is>
      </c>
    </row>
    <row r="3" ht="18" customHeight="1">
      <c r="A3" s="46" t="inlineStr">
        <is>
          <t>F-01</t>
        </is>
      </c>
      <c r="B3" s="47" t="inlineStr">
        <is>
          <t>dark_blade — 암흑검사 (Warrior/fire)</t>
        </is>
      </c>
      <c r="C3" s="47" t="inlineStr">
        <is>
          <t>폼 (Forms) — 10종 목표</t>
        </is>
      </c>
      <c r="D3" s="47" t="inlineStr">
        <is>
          <t>M1잔여</t>
        </is>
      </c>
      <c r="E3" s="47" t="n"/>
      <c r="F3" s="46" t="inlineStr">
        <is>
          <t>완료</t>
        </is>
      </c>
      <c r="G3" s="47" t="n"/>
      <c r="H3" s="47" t="inlineStr">
        <is>
          <t>M1완료</t>
        </is>
      </c>
    </row>
    <row r="4" ht="18" customHeight="1">
      <c r="A4" s="46" t="inlineStr">
        <is>
          <t>F-02</t>
        </is>
      </c>
      <c r="B4" s="47" t="inlineStr">
        <is>
          <t>void_archer — 공허궁수 (Archer/abyss)</t>
        </is>
      </c>
      <c r="C4" s="47" t="inlineStr">
        <is>
          <t>폼 (Forms) — 10종 목표</t>
        </is>
      </c>
      <c r="D4" s="47" t="inlineStr">
        <is>
          <t>M1잔여</t>
        </is>
      </c>
      <c r="E4" s="47" t="n"/>
      <c r="F4" s="46" t="inlineStr">
        <is>
          <t>완료</t>
        </is>
      </c>
      <c r="G4" s="47" t="n"/>
      <c r="H4" s="47" t="inlineStr">
        <is>
          <t>M1완료</t>
        </is>
      </c>
    </row>
    <row r="5" ht="18" customHeight="1">
      <c r="A5" s="46" t="inlineStr">
        <is>
          <t>F-03</t>
        </is>
      </c>
      <c r="B5" s="47" t="inlineStr">
        <is>
          <t>ancient_shield — 고대 방패병 (Warrior/guard)</t>
        </is>
      </c>
      <c r="C5" s="47" t="inlineStr">
        <is>
          <t>폼 (Forms) — 10종 목표</t>
        </is>
      </c>
      <c r="D5" s="47" t="inlineStr">
        <is>
          <t>M2-Q1</t>
        </is>
      </c>
      <c r="E5" s="47" t="n"/>
      <c r="F5" s="46" t="inlineStr">
        <is>
          <t>완료</t>
        </is>
      </c>
      <c r="G5" s="47" t="n"/>
      <c r="H5" s="47" t="inlineStr">
        <is>
          <t>M1완료</t>
        </is>
      </c>
    </row>
    <row r="6" ht="18" customHeight="1">
      <c r="A6" s="46" t="inlineStr">
        <is>
          <t>F-04</t>
        </is>
      </c>
      <c r="B6" s="47" t="inlineStr">
        <is>
          <t>void_thrower — 심연 투척사 (Shifter/abyss)</t>
        </is>
      </c>
      <c r="C6" s="47" t="inlineStr">
        <is>
          <t>폼 (Forms) — 10종 목표</t>
        </is>
      </c>
      <c r="D6" s="47" t="inlineStr">
        <is>
          <t>M2-Q2</t>
        </is>
      </c>
      <c r="E6" s="47" t="n"/>
      <c r="F6" s="46" t="inlineStr">
        <is>
          <t>완료</t>
        </is>
      </c>
      <c r="G6" s="47" t="n"/>
      <c r="H6" s="47" t="inlineStr">
        <is>
          <t>M1완료</t>
        </is>
      </c>
    </row>
    <row r="7" ht="18" customHeight="1">
      <c r="A7" s="46" t="inlineStr">
        <is>
          <t>F-05</t>
        </is>
      </c>
      <c r="B7" s="47" t="inlineStr">
        <is>
          <t>frost_warden — 빙결 수호자 (Warrior/frost)</t>
        </is>
      </c>
      <c r="C7" s="47" t="inlineStr">
        <is>
          <t>폼 (Forms) — 10종 목표</t>
        </is>
      </c>
      <c r="D7" s="47" t="inlineStr">
        <is>
          <t>M3-Q3</t>
        </is>
      </c>
      <c r="E7" s="47" t="n"/>
      <c r="F7" s="46" t="inlineStr">
        <is>
          <t>대기</t>
        </is>
      </c>
      <c r="G7" s="47" t="n"/>
      <c r="H7" s="47" t="n"/>
    </row>
    <row r="8" ht="18" customHeight="1">
      <c r="A8" s="46" t="inlineStr">
        <is>
          <t>F-06</t>
        </is>
      </c>
      <c r="B8" s="47" t="inlineStr">
        <is>
          <t>soul_dancer — 영혼 무희 (Shifter/abyss)</t>
        </is>
      </c>
      <c r="C8" s="47" t="inlineStr">
        <is>
          <t>폼 (Forms) — 10종 목표</t>
        </is>
      </c>
      <c r="D8" s="47" t="inlineStr">
        <is>
          <t>M3-Q4</t>
        </is>
      </c>
      <c r="E8" s="47" t="n"/>
      <c r="F8" s="46" t="inlineStr">
        <is>
          <t>대기</t>
        </is>
      </c>
      <c r="G8" s="47" t="n"/>
      <c r="H8" s="47" t="n"/>
    </row>
    <row r="9" ht="18" customHeight="1">
      <c r="A9" s="46" t="inlineStr">
        <is>
          <t>F-07</t>
        </is>
      </c>
      <c r="B9" s="47" t="inlineStr">
        <is>
          <t>blood_reaver — 혈검 사신 (Warrior/blood_pact)</t>
        </is>
      </c>
      <c r="C9" s="47" t="inlineStr">
        <is>
          <t>폼 (Forms) — 10종 목표</t>
        </is>
      </c>
      <c r="D9" s="47" t="inlineStr">
        <is>
          <t>M4-Q7</t>
        </is>
      </c>
      <c r="E9" s="47" t="n"/>
      <c r="F9" s="46" t="inlineStr">
        <is>
          <t>대기</t>
        </is>
      </c>
      <c r="G9" s="47" t="n"/>
      <c r="H9" s="47" t="n"/>
    </row>
    <row r="10" ht="18" customHeight="1">
      <c r="A10" s="46" t="inlineStr">
        <is>
          <t>F-08</t>
        </is>
      </c>
      <c r="B10" s="47" t="inlineStr">
        <is>
          <t>flame_oracle — 화염 신탁 (Archer/fire)</t>
        </is>
      </c>
      <c r="C10" s="47" t="inlineStr">
        <is>
          <t>폼 (Forms) — 10종 목표</t>
        </is>
      </c>
      <c r="D10" s="47" t="inlineStr">
        <is>
          <t>M4-Q8</t>
        </is>
      </c>
      <c r="E10" s="47" t="n"/>
      <c r="F10" s="46" t="inlineStr">
        <is>
          <t>대기</t>
        </is>
      </c>
      <c r="G10" s="47" t="n"/>
      <c r="H10" s="47" t="n"/>
    </row>
    <row r="11" ht="18" customHeight="1">
      <c r="A11" s="46" t="inlineStr">
        <is>
          <t>F-09</t>
        </is>
      </c>
      <c r="B11" s="47" t="inlineStr">
        <is>
          <t>soul_binder — 영혼 결속자 (Shifter/soul)</t>
        </is>
      </c>
      <c r="C11" s="47" t="inlineStr">
        <is>
          <t>폼 (Forms) — 10종 목표</t>
        </is>
      </c>
      <c r="D11" s="47" t="inlineStr">
        <is>
          <t>M4-Q9</t>
        </is>
      </c>
      <c r="E11" s="47" t="n"/>
      <c r="F11" s="46" t="inlineStr">
        <is>
          <t>대기</t>
        </is>
      </c>
      <c r="G11" s="47" t="n"/>
      <c r="H11" s="47" t="n"/>
    </row>
    <row r="12" ht="18" customHeight="1">
      <c r="A12" s="46" t="inlineStr">
        <is>
          <t>F-10</t>
        </is>
      </c>
      <c r="B12" s="47" t="inlineStr">
        <is>
          <t>abyss_avatar — 심연의 화신 [히든]</t>
        </is>
      </c>
      <c r="C12" s="47" t="inlineStr">
        <is>
          <t>폼 (Forms) — 10종 목표</t>
        </is>
      </c>
      <c r="D12" s="47" t="inlineStr">
        <is>
          <t>M4-Q10</t>
        </is>
      </c>
      <c r="E12" s="47" t="n"/>
      <c r="F12" s="46" t="inlineStr">
        <is>
          <t>대기</t>
        </is>
      </c>
      <c r="G12" s="47" t="n"/>
      <c r="H12" s="47" t="inlineStr">
        <is>
          <t>히든</t>
        </is>
      </c>
    </row>
    <row r="13" ht="18" customHeight="1">
      <c r="A13" s="46" t="inlineStr">
        <is>
          <t>A-01</t>
        </is>
      </c>
      <c r="B13" s="47" t="inlineStr">
        <is>
          <t>fire — 불꽃 (DoT·폭발)</t>
        </is>
      </c>
      <c r="C13" s="47" t="inlineStr">
        <is>
          <t>시너지 축 (Synergy Axes) — 6축</t>
        </is>
      </c>
      <c r="D13" s="47" t="inlineStr">
        <is>
          <t>M1잔여</t>
        </is>
      </c>
      <c r="E13" s="47" t="n"/>
      <c r="F13" s="46" t="inlineStr">
        <is>
          <t>완료</t>
        </is>
      </c>
      <c r="G13" s="47" t="n"/>
      <c r="H13" s="47" t="inlineStr">
        <is>
          <t>M1완료</t>
        </is>
      </c>
    </row>
    <row r="14" ht="18" customHeight="1">
      <c r="A14" s="46" t="inlineStr">
        <is>
          <t>A-02</t>
        </is>
      </c>
      <c r="B14" s="47" t="inlineStr">
        <is>
          <t>abyss — 심연 (이동·대시·잔상)</t>
        </is>
      </c>
      <c r="C14" s="47" t="inlineStr">
        <is>
          <t>시너지 축 (Synergy Axes) — 6축</t>
        </is>
      </c>
      <c r="D14" s="47" t="inlineStr">
        <is>
          <t>M1잔여</t>
        </is>
      </c>
      <c r="E14" s="47" t="n"/>
      <c r="F14" s="46" t="inlineStr">
        <is>
          <t>완료</t>
        </is>
      </c>
      <c r="G14" s="47" t="n"/>
      <c r="H14" s="47" t="inlineStr">
        <is>
          <t>M1완료</t>
        </is>
      </c>
    </row>
    <row r="15" ht="18" customHeight="1">
      <c r="A15" s="46" t="inlineStr">
        <is>
          <t>A-03</t>
        </is>
      </c>
      <c r="B15" s="47" t="inlineStr">
        <is>
          <t>guard — 수호 (방어·가드 카운터)</t>
        </is>
      </c>
      <c r="C15" s="47" t="inlineStr">
        <is>
          <t>시너지 축 (Synergy Axes) — 6축</t>
        </is>
      </c>
      <c r="D15" s="47" t="inlineStr">
        <is>
          <t>M2-Q1</t>
        </is>
      </c>
      <c r="E15" s="47" t="n"/>
      <c r="F15" s="46" t="inlineStr">
        <is>
          <t>완료</t>
        </is>
      </c>
      <c r="G15" s="47" t="n"/>
      <c r="H15" s="47" t="inlineStr">
        <is>
          <t>M1완료</t>
        </is>
      </c>
    </row>
    <row r="16" ht="18" customHeight="1">
      <c r="A16" s="46" t="inlineStr">
        <is>
          <t>A-04</t>
        </is>
      </c>
      <c r="B16" s="47" t="inlineStr">
        <is>
          <t>시너지 발동 로직 (폭발 신학·심연 동료)</t>
        </is>
      </c>
      <c r="C16" s="47" t="inlineStr">
        <is>
          <t>시너지 축 (Synergy Axes) — 6축</t>
        </is>
      </c>
      <c r="D16" s="47" t="inlineStr">
        <is>
          <t>M2-Q2</t>
        </is>
      </c>
      <c r="E16" s="47" t="n"/>
      <c r="F16" s="46" t="inlineStr">
        <is>
          <t>완료</t>
        </is>
      </c>
      <c r="G16" s="47" t="n"/>
      <c r="H16" s="47" t="inlineStr">
        <is>
          <t>M1완료</t>
        </is>
      </c>
    </row>
    <row r="17" ht="18" customHeight="1">
      <c r="A17" s="46" t="inlineStr">
        <is>
          <t>A-05</t>
        </is>
      </c>
      <c r="B17" s="47" t="inlineStr">
        <is>
          <t>연소 상태이상 (불꽃 축 기반 DoT)</t>
        </is>
      </c>
      <c r="C17" s="47" t="inlineStr">
        <is>
          <t>시너지 축 (Synergy Axes) — 6축</t>
        </is>
      </c>
      <c r="D17" s="47" t="inlineStr">
        <is>
          <t>M2-Q2</t>
        </is>
      </c>
      <c r="E17" s="47" t="n"/>
      <c r="F17" s="46" t="inlineStr">
        <is>
          <t>완료</t>
        </is>
      </c>
      <c r="G17" s="47" t="n"/>
      <c r="H17" s="47" t="inlineStr">
        <is>
          <t>M1완료</t>
        </is>
      </c>
    </row>
    <row r="18" ht="18" customHeight="1">
      <c r="A18" s="46" t="inlineStr">
        <is>
          <t>A-06</t>
        </is>
      </c>
      <c r="B18" s="47" t="inlineStr">
        <is>
          <t>Passive 발동 로직 (연소 강화·불꽃 갑옷)</t>
        </is>
      </c>
      <c r="C18" s="47" t="inlineStr">
        <is>
          <t>시너지 축 (Synergy Axes) — 6축</t>
        </is>
      </c>
      <c r="D18" s="47" t="inlineStr">
        <is>
          <t>M2-Q2</t>
        </is>
      </c>
      <c r="E18" s="47" t="n"/>
      <c r="F18" s="46" t="inlineStr">
        <is>
          <t>완료</t>
        </is>
      </c>
      <c r="G18" s="47" t="n"/>
      <c r="H18" s="47" t="inlineStr">
        <is>
          <t>M1완료</t>
        </is>
      </c>
    </row>
    <row r="19" ht="18" customHeight="1">
      <c r="A19" s="46" t="inlineStr">
        <is>
          <t>A-07</t>
        </is>
      </c>
      <c r="B19" s="47" t="inlineStr">
        <is>
          <t>Passive 발동 로직 (잔상·심연 충전)</t>
        </is>
      </c>
      <c r="C19" s="47" t="inlineStr">
        <is>
          <t>시너지 축 (Synergy Axes) — 6축</t>
        </is>
      </c>
      <c r="D19" s="47" t="inlineStr">
        <is>
          <t>M2-Q2</t>
        </is>
      </c>
      <c r="E19" s="47" t="n"/>
      <c r="F19" s="46" t="inlineStr">
        <is>
          <t>완료</t>
        </is>
      </c>
      <c r="G19" s="47" t="n"/>
      <c r="H19" s="47" t="inlineStr">
        <is>
          <t>M1완료</t>
        </is>
      </c>
    </row>
    <row r="20" ht="18" customHeight="1">
      <c r="A20" s="46" t="inlineStr">
        <is>
          <t>A-08</t>
        </is>
      </c>
      <c r="B20" s="47" t="inlineStr">
        <is>
          <t>blood_pact — 피의 서약 (흡혈)</t>
        </is>
      </c>
      <c r="C20" s="47" t="inlineStr">
        <is>
          <t>시너지 축 (Synergy Axes) — 6축</t>
        </is>
      </c>
      <c r="D20" s="47" t="inlineStr">
        <is>
          <t>M4-Q7</t>
        </is>
      </c>
      <c r="E20" s="47" t="n"/>
      <c r="F20" s="46" t="inlineStr">
        <is>
          <t>대기</t>
        </is>
      </c>
      <c r="G20" s="47" t="n"/>
      <c r="H20" s="47" t="n"/>
    </row>
    <row r="21" ht="18" customHeight="1">
      <c r="A21" s="46" t="inlineStr">
        <is>
          <t>A-09</t>
        </is>
      </c>
      <c r="B21" s="47" t="inlineStr">
        <is>
          <t>frost — 빙결 (CC 누적)</t>
        </is>
      </c>
      <c r="C21" s="47" t="inlineStr">
        <is>
          <t>시너지 축 (Synergy Axes) — 6축</t>
        </is>
      </c>
      <c r="D21" s="47" t="inlineStr">
        <is>
          <t>M3-Q3</t>
        </is>
      </c>
      <c r="E21" s="47" t="n"/>
      <c r="F21" s="46" t="inlineStr">
        <is>
          <t>대기</t>
        </is>
      </c>
      <c r="G21" s="47" t="n"/>
      <c r="H21" s="47" t="n"/>
    </row>
    <row r="22" ht="18" customHeight="1">
      <c r="A22" s="46" t="inlineStr">
        <is>
          <t>A-10</t>
        </is>
      </c>
      <c r="B22" s="47" t="inlineStr">
        <is>
          <t>soul — 영혼 (복제·능력 차용)</t>
        </is>
      </c>
      <c r="C22" s="47" t="inlineStr">
        <is>
          <t>시너지 축 (Synergy Axes) — 6축</t>
        </is>
      </c>
      <c r="D22" s="47" t="inlineStr">
        <is>
          <t>M4-Q9</t>
        </is>
      </c>
      <c r="E22" s="47" t="n"/>
      <c r="F22" s="46" t="inlineStr">
        <is>
          <t>대기</t>
        </is>
      </c>
      <c r="G22" s="47" t="n"/>
      <c r="H22" s="47" t="n"/>
    </row>
    <row r="23" ht="18" customHeight="1">
      <c r="A23" s="46" t="inlineStr">
        <is>
          <t>K-01</t>
        </is>
      </c>
      <c r="B23" s="47" t="inlineStr">
        <is>
          <t>11 스킬 (불꽃 5 + 심연 5 + 버프 1)</t>
        </is>
      </c>
      <c r="C23" s="47" t="inlineStr">
        <is>
          <t>스킬 풀 (Skills) — 150개 목표</t>
        </is>
      </c>
      <c r="D23" s="47" t="inlineStr">
        <is>
          <t>M1잔여</t>
        </is>
      </c>
      <c r="E23" s="47" t="n"/>
      <c r="F23" s="46" t="inlineStr">
        <is>
          <t>대기</t>
        </is>
      </c>
      <c r="G23" s="47" t="n"/>
      <c r="H23" s="47" t="inlineStr">
        <is>
          <t>11</t>
        </is>
      </c>
    </row>
    <row r="24" ht="18" customHeight="1">
      <c r="A24" s="46" t="inlineStr">
        <is>
          <t>K-02</t>
        </is>
      </c>
      <c r="B24" s="47" t="inlineStr">
        <is>
          <t>18 스킬 (+화염 폭발·영혼 회수·반격 태세)</t>
        </is>
      </c>
      <c r="C24" s="47" t="inlineStr">
        <is>
          <t>스킬 풀 (Skills) — 150개 목표</t>
        </is>
      </c>
      <c r="D24" s="47" t="inlineStr">
        <is>
          <t>M2-Q1</t>
        </is>
      </c>
      <c r="E24" s="47" t="n"/>
      <c r="F24" s="46" t="inlineStr">
        <is>
          <t>완료</t>
        </is>
      </c>
      <c r="G24" s="47" t="n"/>
      <c r="H24" s="47" t="inlineStr">
        <is>
          <t>M1완료</t>
        </is>
      </c>
    </row>
    <row r="25" ht="18" customHeight="1">
      <c r="A25" s="46" t="inlineStr">
        <is>
          <t>K-03</t>
        </is>
      </c>
      <c r="B25" s="47" t="inlineStr">
        <is>
          <t>기존 18스킬의 3빌드 검증 후 30~40종 검토 (피의 서약은 M4)</t>
        </is>
      </c>
      <c r="C25" s="47" t="inlineStr">
        <is>
          <t>스킬 풀 (Skills) — 150개 목표</t>
        </is>
      </c>
      <c r="D25" s="47" t="inlineStr">
        <is>
          <t>M2-Q2</t>
        </is>
      </c>
      <c r="E25" s="47" t="n"/>
      <c r="F25" s="46" t="inlineStr">
        <is>
          <t>대기</t>
        </is>
      </c>
      <c r="G25" s="47" t="n"/>
      <c r="H25" s="47" t="inlineStr">
        <is>
          <t>30~40</t>
        </is>
      </c>
    </row>
    <row r="26" ht="18" customHeight="1">
      <c r="A26" s="46" t="inlineStr">
        <is>
          <t>K-04</t>
        </is>
      </c>
      <c r="B26" s="47" t="inlineStr">
        <is>
          <t>60스킬 확장 후보 (PG2 후 · 빙결은 폼 제작과 연동)</t>
        </is>
      </c>
      <c r="C26" s="47" t="inlineStr">
        <is>
          <t>스킬 풀 (Skills) — 150개 목표</t>
        </is>
      </c>
      <c r="D26" s="47" t="inlineStr">
        <is>
          <t>M3-Q3</t>
        </is>
      </c>
      <c r="E26" s="47" t="n"/>
      <c r="F26" s="46" t="inlineStr">
        <is>
          <t>대기</t>
        </is>
      </c>
      <c r="G26" s="47" t="n"/>
      <c r="H26" s="47" t="inlineStr">
        <is>
          <t>60</t>
        </is>
      </c>
    </row>
    <row r="27" ht="18" customHeight="1">
      <c r="A27" s="46" t="inlineStr">
        <is>
          <t>K-05</t>
        </is>
      </c>
      <c r="B27" s="47" t="inlineStr">
        <is>
          <t>EA 스킬 풀 확정 (80종 후보 · PG2 제작성에 따라 조정)</t>
        </is>
      </c>
      <c r="C27" s="47" t="inlineStr">
        <is>
          <t>스킬 풀 (Skills) — 150개 목표</t>
        </is>
      </c>
      <c r="D27" s="47" t="inlineStr">
        <is>
          <t>M3-Q4</t>
        </is>
      </c>
      <c r="E27" s="47" t="n"/>
      <c r="F27" s="46" t="inlineStr">
        <is>
          <t>대기</t>
        </is>
      </c>
      <c r="G27" s="47" t="n"/>
      <c r="H27" s="47" t="inlineStr">
        <is>
          <t>80</t>
        </is>
      </c>
    </row>
    <row r="28" ht="18" customHeight="1">
      <c r="A28" s="46" t="inlineStr">
        <is>
          <t>K-06</t>
        </is>
      </c>
      <c r="B28" s="47" t="inlineStr">
        <is>
          <t>EA 운영 스킬 확장 (100종 후보 · 실제 피드백 우선)</t>
        </is>
      </c>
      <c r="C28" s="47" t="inlineStr">
        <is>
          <t>스킬 풀 (Skills) — 150개 목표</t>
        </is>
      </c>
      <c r="D28" s="47" t="inlineStr">
        <is>
          <t>M3-Q5~M3-Q6</t>
        </is>
      </c>
      <c r="E28" s="47" t="n"/>
      <c r="F28" s="46" t="inlineStr">
        <is>
          <t>대기</t>
        </is>
      </c>
      <c r="G28" s="47" t="n"/>
      <c r="H28" s="47" t="inlineStr">
        <is>
          <t>90→100</t>
        </is>
      </c>
    </row>
    <row r="29" ht="18" customHeight="1">
      <c r="A29" s="46" t="inlineStr">
        <is>
          <t>K-07</t>
        </is>
      </c>
      <c r="B29" s="47" t="inlineStr">
        <is>
          <t>후반 스킬 확장 (130종 후보 · 영혼 축 가치 검증)</t>
        </is>
      </c>
      <c r="C29" s="47" t="inlineStr">
        <is>
          <t>스킬 풀 (Skills) — 150개 목표</t>
        </is>
      </c>
      <c r="D29" s="47" t="inlineStr">
        <is>
          <t>M4-Q7~M4-Q9</t>
        </is>
      </c>
      <c r="E29" s="47" t="n"/>
      <c r="F29" s="46" t="inlineStr">
        <is>
          <t>대기</t>
        </is>
      </c>
      <c r="G29" s="47" t="n"/>
      <c r="H29" s="47" t="inlineStr">
        <is>
          <t>110→130</t>
        </is>
      </c>
    </row>
    <row r="30" ht="18" customHeight="1">
      <c r="A30" s="46" t="inlineStr">
        <is>
          <t>K-08</t>
        </is>
      </c>
      <c r="B30" s="47" t="inlineStr">
        <is>
          <t>정식판 스킬 풀 마무리 (150종 상한 후보 · 개수 강제 없음)</t>
        </is>
      </c>
      <c r="C30" s="47" t="inlineStr">
        <is>
          <t>스킬 풀 (Skills) — 150개 목표</t>
        </is>
      </c>
      <c r="D30" s="47" t="inlineStr">
        <is>
          <t>M4-Q10</t>
        </is>
      </c>
      <c r="E30" s="47" t="n"/>
      <c r="F30" s="46" t="inlineStr">
        <is>
          <t>대기</t>
        </is>
      </c>
      <c r="G30" s="47" t="n"/>
      <c r="H30" s="47" t="inlineStr">
        <is>
          <t>150</t>
        </is>
      </c>
    </row>
    <row r="31" ht="18" customHeight="1">
      <c r="A31" s="46" t="inlineStr">
        <is>
          <t>E-01</t>
        </is>
      </c>
      <c r="B31" s="47" t="inlineStr">
        <is>
          <t>일반 적 5종 (Melee×2 / Ranged / Elite / Boss)</t>
        </is>
      </c>
      <c r="C31" s="47" t="inlineStr">
        <is>
          <t>적 (Enemies) — 40~50종 목표</t>
        </is>
      </c>
      <c r="D31" s="47" t="inlineStr">
        <is>
          <t>M1잔여</t>
        </is>
      </c>
      <c r="E31" s="47" t="n"/>
      <c r="F31" s="46" t="inlineStr">
        <is>
          <t>완료</t>
        </is>
      </c>
      <c r="G31" s="47" t="n"/>
      <c r="H31" s="47" t="inlineStr">
        <is>
          <t>M1완료</t>
        </is>
      </c>
    </row>
    <row r="32" ht="18" customHeight="1">
      <c r="A32" s="46" t="inlineStr">
        <is>
          <t>E-02</t>
        </is>
      </c>
      <c r="B32" s="47" t="inlineStr">
        <is>
          <t>발사체 시스템 + 원거리적 정상화</t>
        </is>
      </c>
      <c r="C32" s="47" t="inlineStr">
        <is>
          <t>적 (Enemies) — 40~50종 목표</t>
        </is>
      </c>
      <c r="D32" s="47" t="inlineStr">
        <is>
          <t>M2-Q1</t>
        </is>
      </c>
      <c r="E32" s="47" t="n"/>
      <c r="F32" s="46" t="inlineStr">
        <is>
          <t>완료</t>
        </is>
      </c>
      <c r="G32" s="47" t="n"/>
      <c r="H32" s="47" t="inlineStr">
        <is>
          <t>M1완료</t>
        </is>
      </c>
    </row>
    <row r="33" ht="18" customHeight="1">
      <c r="A33" s="46" t="inlineStr">
        <is>
          <t>E-03</t>
        </is>
      </c>
      <c r="B33" s="47" t="inlineStr">
        <is>
          <t>원거리·발사체형 3종 신규</t>
        </is>
      </c>
      <c r="C33" s="47" t="inlineStr">
        <is>
          <t>적 (Enemies) — 40~50종 목표</t>
        </is>
      </c>
      <c r="D33" s="47" t="inlineStr">
        <is>
          <t>M2-Q1</t>
        </is>
      </c>
      <c r="E33" s="47" t="n"/>
      <c r="F33" s="46" t="inlineStr">
        <is>
          <t>완료</t>
        </is>
      </c>
      <c r="G33" s="47" t="n"/>
      <c r="H33" s="47" t="inlineStr">
        <is>
          <t>M1완료</t>
        </is>
      </c>
    </row>
    <row r="34" ht="18" customHeight="1">
      <c r="A34" s="46" t="inlineStr">
        <is>
          <t>E-04</t>
        </is>
      </c>
      <c r="B34" s="47" t="inlineStr">
        <is>
          <t>환경 활용형 (천장·잠복·부유) 3종</t>
        </is>
      </c>
      <c r="C34" s="47" t="inlineStr">
        <is>
          <t>적 (Enemies) — 40~50종 목표</t>
        </is>
      </c>
      <c r="D34" s="47" t="inlineStr">
        <is>
          <t>M2-Q2</t>
        </is>
      </c>
      <c r="E34" s="47" t="n"/>
      <c r="F34" s="46" t="inlineStr">
        <is>
          <t>대기</t>
        </is>
      </c>
      <c r="G34" s="47" t="n"/>
      <c r="H34" s="47" t="n"/>
    </row>
    <row r="35" ht="18" customHeight="1">
      <c r="A35" s="46" t="inlineStr">
        <is>
          <t>E-05</t>
        </is>
      </c>
      <c r="B35" s="47" t="inlineStr">
        <is>
          <t>엘리트 변종 2종 (광폭화·소환사)</t>
        </is>
      </c>
      <c r="C35" s="47" t="inlineStr">
        <is>
          <t>적 (Enemies) — 40~50종 목표</t>
        </is>
      </c>
      <c r="D35" s="47" t="inlineStr">
        <is>
          <t>M2-Q2</t>
        </is>
      </c>
      <c r="E35" s="47" t="n"/>
      <c r="F35" s="46" t="inlineStr">
        <is>
          <t>대기</t>
        </is>
      </c>
      <c r="G35" s="47" t="n"/>
      <c r="H35" s="47" t="n"/>
    </row>
    <row r="36" ht="18" customHeight="1">
      <c r="A36" s="46" t="inlineStr">
        <is>
          <t>E-06</t>
        </is>
      </c>
      <c r="B36" s="47" t="inlineStr">
        <is>
          <t>스테이지 4~5 신규 적 풀 (각 6~7종)</t>
        </is>
      </c>
      <c r="C36" s="47" t="inlineStr">
        <is>
          <t>적 (Enemies) — 40~50종 목표</t>
        </is>
      </c>
      <c r="D36" s="47" t="inlineStr">
        <is>
          <t>M3-Q3~M3-Q4</t>
        </is>
      </c>
      <c r="E36" s="47" t="n"/>
      <c r="F36" s="46" t="inlineStr">
        <is>
          <t>대기</t>
        </is>
      </c>
      <c r="G36" s="47" t="n"/>
      <c r="H36" s="47" t="n"/>
    </row>
    <row r="37" ht="18" customHeight="1">
      <c r="A37" s="46" t="inlineStr">
        <is>
          <t>E-07</t>
        </is>
      </c>
      <c r="B37" s="47" t="inlineStr">
        <is>
          <t>환경 트랩 NPC (터렛·낙석)</t>
        </is>
      </c>
      <c r="C37" s="47" t="inlineStr">
        <is>
          <t>적 (Enemies) — 40~50종 목표</t>
        </is>
      </c>
      <c r="D37" s="47" t="inlineStr">
        <is>
          <t>M3-Q4</t>
        </is>
      </c>
      <c r="E37" s="47" t="n"/>
      <c r="F37" s="46" t="inlineStr">
        <is>
          <t>대기</t>
        </is>
      </c>
      <c r="G37" s="47" t="n"/>
      <c r="H37" s="47" t="n"/>
    </row>
    <row r="38" ht="18" customHeight="1">
      <c r="A38" s="46" t="inlineStr">
        <is>
          <t>E-08</t>
        </is>
      </c>
      <c r="B38" s="47" t="inlineStr">
        <is>
          <t>히든·도전 모드 적 5~7종</t>
        </is>
      </c>
      <c r="C38" s="47" t="inlineStr">
        <is>
          <t>적 (Enemies) — 40~50종 목표</t>
        </is>
      </c>
      <c r="D38" s="47" t="inlineStr">
        <is>
          <t>M4-Q10</t>
        </is>
      </c>
      <c r="E38" s="47" t="n"/>
      <c r="F38" s="46" t="inlineStr">
        <is>
          <t>대기</t>
        </is>
      </c>
      <c r="G38" s="47" t="n"/>
      <c r="H38" s="47" t="inlineStr">
        <is>
          <t>히든</t>
        </is>
      </c>
    </row>
    <row r="39" ht="18" customHeight="1">
      <c r="A39" s="46" t="inlineStr">
        <is>
          <t>B-01</t>
        </is>
      </c>
      <c r="B39" s="47" t="inlineStr">
        <is>
          <t>보스 페이즈 탄막 패턴 (부채꼴 볼리, 공통)</t>
        </is>
      </c>
      <c r="C39" s="47" t="inlineStr">
        <is>
          <t>보스 (Bosses) — 10~12종 목표</t>
        </is>
      </c>
      <c r="D39" s="47" t="inlineStr">
        <is>
          <t>M1잔여</t>
        </is>
      </c>
      <c r="E39" s="47" t="n"/>
      <c r="F39" s="46" t="inlineStr">
        <is>
          <t>완료</t>
        </is>
      </c>
      <c r="G39" s="47" t="n"/>
      <c r="H39" s="47" t="inlineStr">
        <is>
          <t>M1완료</t>
        </is>
      </c>
    </row>
    <row r="40" ht="18" customHeight="1">
      <c r="A40" s="46" t="inlineStr">
        <is>
          <t>B-02</t>
        </is>
      </c>
      <c r="B40" s="47" t="inlineStr">
        <is>
          <t>보스 고유 패턴 (회전베기/화염브레스/꼬리치기)</t>
        </is>
      </c>
      <c r="C40" s="47" t="inlineStr">
        <is>
          <t>보스 (Bosses) — 10~12종 목표</t>
        </is>
      </c>
      <c r="D40" s="47" t="inlineStr">
        <is>
          <t>M2-Q1</t>
        </is>
      </c>
      <c r="E40" s="47" t="n"/>
      <c r="F40" s="46" t="inlineStr">
        <is>
          <t>완료</t>
        </is>
      </c>
      <c r="G40" s="47" t="n"/>
      <c r="H40" s="47" t="inlineStr">
        <is>
          <t>M1완료</t>
        </is>
      </c>
    </row>
    <row r="41" ht="18" customHeight="1">
      <c r="A41" s="46" t="inlineStr">
        <is>
          <t>B-03</t>
        </is>
      </c>
      <c r="B41" s="47" t="inlineStr">
        <is>
          <t>보스 연출 (예고/SFX/강타 모션/페이즈 전환)</t>
        </is>
      </c>
      <c r="C41" s="47" t="inlineStr">
        <is>
          <t>보스 (Bosses) — 10~12종 목표</t>
        </is>
      </c>
      <c r="D41" s="47" t="inlineStr">
        <is>
          <t>M2-Q1</t>
        </is>
      </c>
      <c r="E41" s="47" t="n"/>
      <c r="F41" s="46" t="inlineStr">
        <is>
          <t>완료</t>
        </is>
      </c>
      <c r="G41" s="47" t="n"/>
      <c r="H41" s="47" t="inlineStr">
        <is>
          <t>M1완료</t>
        </is>
      </c>
    </row>
    <row r="42" ht="18" customHeight="1">
      <c r="A42" s="46" t="inlineStr">
        <is>
          <t>B-04</t>
        </is>
      </c>
      <c r="B42" s="47" t="inlineStr">
        <is>
          <t>BossAbyssKeeper (스테이지 1 최종)</t>
        </is>
      </c>
      <c r="C42" s="47" t="inlineStr">
        <is>
          <t>보스 (Bosses) — 10~12종 목표</t>
        </is>
      </c>
      <c r="D42" s="47" t="inlineStr">
        <is>
          <t>M1잔여</t>
        </is>
      </c>
      <c r="E42" s="47" t="n"/>
      <c r="F42" s="46" t="inlineStr">
        <is>
          <t>완료</t>
        </is>
      </c>
      <c r="G42" s="47" t="n"/>
      <c r="H42" s="47" t="inlineStr">
        <is>
          <t>M1완료</t>
        </is>
      </c>
    </row>
    <row r="43" ht="18" customHeight="1">
      <c r="A43" s="46" t="inlineStr">
        <is>
          <t>B-05</t>
        </is>
      </c>
      <c r="B43" s="47" t="inlineStr">
        <is>
          <t>BossAbyssKeeper 공격 예고 (근접 0.7/회복 0.5 · 탄막 0.6/0.5/0.4 · 첫 보스 전용 · wave2)</t>
        </is>
      </c>
      <c r="C43" s="47" t="inlineStr">
        <is>
          <t>보스 (Bosses) — 10~12종 목표</t>
        </is>
      </c>
      <c r="D43" s="47" t="inlineStr">
        <is>
          <t>M3-Q3</t>
        </is>
      </c>
      <c r="E43" s="47" t="n"/>
      <c r="F43" s="46" t="inlineStr">
        <is>
          <t>완료</t>
        </is>
      </c>
      <c r="G43" s="47" t="n"/>
      <c r="H43" s="47" t="inlineStr">
        <is>
          <t>M1완료</t>
        </is>
      </c>
    </row>
    <row r="44" ht="18" customHeight="1">
      <c r="A44" s="46" t="inlineStr">
        <is>
          <t>B-06</t>
        </is>
      </c>
      <c r="B44" s="47" t="inlineStr">
        <is>
          <t>BossFlameSerpent (스테이지 2 최종)</t>
        </is>
      </c>
      <c r="C44" s="47" t="inlineStr">
        <is>
          <t>보스 (Bosses) — 10~12종 목표</t>
        </is>
      </c>
      <c r="D44" s="47" t="inlineStr">
        <is>
          <t>M2-Q1</t>
        </is>
      </c>
      <c r="E44" s="47" t="n"/>
      <c r="F44" s="46" t="inlineStr">
        <is>
          <t>완료</t>
        </is>
      </c>
      <c r="G44" s="47" t="n"/>
      <c r="H44" s="47" t="inlineStr">
        <is>
          <t>M1완료</t>
        </is>
      </c>
    </row>
    <row r="45" ht="18" customHeight="1">
      <c r="A45" s="46" t="inlineStr">
        <is>
          <t>B-07</t>
        </is>
      </c>
      <c r="B45" s="47" t="inlineStr">
        <is>
          <t>MidBossSentinel (스테이지 2 중간)</t>
        </is>
      </c>
      <c r="C45" s="47" t="inlineStr">
        <is>
          <t>보스 (Bosses) — 10~12종 목표</t>
        </is>
      </c>
      <c r="D45" s="47" t="inlineStr">
        <is>
          <t>M2-Q1</t>
        </is>
      </c>
      <c r="E45" s="47" t="n"/>
      <c r="F45" s="46" t="inlineStr">
        <is>
          <t>완료</t>
        </is>
      </c>
      <c r="G45" s="47" t="n"/>
      <c r="H45" s="47" t="inlineStr">
        <is>
          <t>M1완료</t>
        </is>
      </c>
    </row>
    <row r="46" ht="18" customHeight="1">
      <c r="A46" s="46" t="inlineStr">
        <is>
          <t>B-08</t>
        </is>
      </c>
      <c r="B46" s="47" t="inlineStr">
        <is>
          <t>BossThronebound (스테이지 3 최종)</t>
        </is>
      </c>
      <c r="C46" s="47" t="inlineStr">
        <is>
          <t>보스 (Bosses) — 10~12종 목표</t>
        </is>
      </c>
      <c r="D46" s="47" t="inlineStr">
        <is>
          <t>M2-Q2</t>
        </is>
      </c>
      <c r="E46" s="47" t="n"/>
      <c r="F46" s="46" t="inlineStr">
        <is>
          <t>완료</t>
        </is>
      </c>
      <c r="G46" s="47" t="n"/>
      <c r="H46" s="47" t="inlineStr">
        <is>
          <t>M1완료</t>
        </is>
      </c>
    </row>
    <row r="47" ht="18" customHeight="1">
      <c r="A47" s="46" t="inlineStr">
        <is>
          <t>B-09</t>
        </is>
      </c>
      <c r="B47" s="47" t="inlineStr">
        <is>
          <t>MidBossThroneWarden (스테이지 3 중간)</t>
        </is>
      </c>
      <c r="C47" s="47" t="inlineStr">
        <is>
          <t>보스 (Bosses) — 10~12종 목표</t>
        </is>
      </c>
      <c r="D47" s="47" t="inlineStr">
        <is>
          <t>M2-Q2</t>
        </is>
      </c>
      <c r="E47" s="47" t="n"/>
      <c r="F47" s="46" t="inlineStr">
        <is>
          <t>완료</t>
        </is>
      </c>
      <c r="G47" s="47" t="n"/>
      <c r="H47" s="47" t="inlineStr">
        <is>
          <t>M1완료</t>
        </is>
      </c>
    </row>
    <row r="48" ht="18" customHeight="1">
      <c r="A48" s="46" t="inlineStr">
        <is>
          <t>B-10</t>
        </is>
      </c>
      <c r="B48" s="47" t="inlineStr">
        <is>
          <t>보스 등장 카드·상단 체력바·페이즈/처치 대사·처치 슬로 (5종 · 규칙 키 Boss_*)</t>
        </is>
      </c>
      <c r="C48" s="47" t="inlineStr">
        <is>
          <t>보스 (Bosses) — 10~12종 목표</t>
        </is>
      </c>
      <c r="D48" s="47" t="inlineStr">
        <is>
          <t>M3-Q3</t>
        </is>
      </c>
      <c r="E48" s="47" t="n"/>
      <c r="F48" s="46" t="inlineStr">
        <is>
          <t>완료</t>
        </is>
      </c>
      <c r="G48" s="47" t="n"/>
      <c r="H48" s="47" t="inlineStr">
        <is>
          <t>M1완료</t>
        </is>
      </c>
    </row>
    <row r="49" ht="18" customHeight="1">
      <c r="A49" s="46" t="inlineStr">
        <is>
          <t>B-11</t>
        </is>
      </c>
      <c r="B49" s="47" t="inlineStr">
        <is>
          <t>스크롤 맵 전환 (Stage1~3 전 방 맵 방 · 배치+추가 소환 · 보상 문 · 17번 설계)</t>
        </is>
      </c>
      <c r="C49" s="47" t="inlineStr">
        <is>
          <t>보스 (Bosses) — 10~12종 목표</t>
        </is>
      </c>
      <c r="D49" s="47" t="inlineStr">
        <is>
          <t>M3-Q3</t>
        </is>
      </c>
      <c r="E49" s="47" t="n"/>
      <c r="F49" s="46" t="inlineStr">
        <is>
          <t>설계 완료</t>
        </is>
      </c>
      <c r="G49" s="47" t="n"/>
      <c r="H49" s="47" t="inlineStr">
        <is>
          <t>실제 구현 미완료. P02와 설계 17 참조.</t>
        </is>
      </c>
    </row>
    <row r="50" ht="18" customHeight="1">
      <c r="A50" s="46" t="inlineStr">
        <is>
          <t>B-12</t>
        </is>
      </c>
      <c r="B50" s="47" t="inlineStr">
        <is>
          <t>스테이지 전환 추락 연출 (StageFallPanel · 첫 방 공중 낙하)</t>
        </is>
      </c>
      <c r="C50" s="47" t="inlineStr">
        <is>
          <t>보스 (Bosses) — 10~12종 목표</t>
        </is>
      </c>
      <c r="D50" s="47" t="inlineStr">
        <is>
          <t>M3-Q3</t>
        </is>
      </c>
      <c r="E50" s="47" t="n"/>
      <c r="F50" s="46" t="inlineStr">
        <is>
          <t>대기</t>
        </is>
      </c>
      <c r="G50" s="47" t="n"/>
      <c r="H50" s="47" t="n"/>
    </row>
    <row r="51" ht="18" customHeight="1">
      <c r="A51" s="46" t="inlineStr">
        <is>
          <t>B-13</t>
        </is>
      </c>
      <c r="B51" s="47" t="inlineStr">
        <is>
          <t>스크롤 맵 A2 — 소환 예고·클리어 연출·문 점등</t>
        </is>
      </c>
      <c r="C51" s="47" t="inlineStr">
        <is>
          <t>보스 (Bosses) — 10~12종 목표</t>
        </is>
      </c>
      <c r="D51" s="47" t="inlineStr">
        <is>
          <t>M3-Q4</t>
        </is>
      </c>
      <c r="E51" s="47" t="n"/>
      <c r="F51" s="46" t="inlineStr">
        <is>
          <t>대기</t>
        </is>
      </c>
      <c r="G51" s="47" t="n"/>
      <c r="H51" s="47" t="n"/>
    </row>
    <row r="52" ht="18" customHeight="1">
      <c r="A52" s="46" t="inlineStr">
        <is>
          <t>B-14</t>
        </is>
      </c>
      <c r="B52" s="47" t="inlineStr">
        <is>
          <t>스크롤 맵 방별 배치·추가 소환 설계 (현재 흩어 스폰)</t>
        </is>
      </c>
      <c r="C52" s="47" t="inlineStr">
        <is>
          <t>보스 (Bosses) — 10~12종 목표</t>
        </is>
      </c>
      <c r="D52" s="47" t="inlineStr">
        <is>
          <t>M3-Q4</t>
        </is>
      </c>
      <c r="E52" s="47" t="n"/>
      <c r="F52" s="46" t="inlineStr">
        <is>
          <t>대기</t>
        </is>
      </c>
      <c r="G52" s="47" t="n"/>
      <c r="H52" s="47" t="n"/>
    </row>
    <row r="53" ht="18" customHeight="1">
      <c r="A53" s="46" t="inlineStr">
        <is>
          <t>B-15</t>
        </is>
      </c>
      <c r="B53" s="47" t="inlineStr">
        <is>
          <t>MidBossPlagueWarden (스테이지 4 중간)</t>
        </is>
      </c>
      <c r="C53" s="47" t="inlineStr">
        <is>
          <t>보스 (Bosses) — 10~12종 목표</t>
        </is>
      </c>
      <c r="D53" s="47" t="inlineStr">
        <is>
          <t>M3-Q3</t>
        </is>
      </c>
      <c r="E53" s="47" t="n"/>
      <c r="F53" s="46" t="inlineStr">
        <is>
          <t>대기</t>
        </is>
      </c>
      <c r="G53" s="47" t="n"/>
      <c r="H53" s="47" t="n"/>
    </row>
    <row r="54" ht="18" customHeight="1">
      <c r="A54" s="46" t="inlineStr">
        <is>
          <t>B-16</t>
        </is>
      </c>
      <c r="B54" s="47" t="inlineStr">
        <is>
          <t>BossFrostKing (스테이지 4 최종)</t>
        </is>
      </c>
      <c r="C54" s="47" t="inlineStr">
        <is>
          <t>보스 (Bosses) — 10~12종 목표</t>
        </is>
      </c>
      <c r="D54" s="47" t="inlineStr">
        <is>
          <t>M3-Q3</t>
        </is>
      </c>
      <c r="E54" s="47" t="n"/>
      <c r="F54" s="46" t="inlineStr">
        <is>
          <t>대기</t>
        </is>
      </c>
      <c r="G54" s="47" t="n"/>
      <c r="H54" s="47" t="n"/>
    </row>
    <row r="55" ht="18" customHeight="1">
      <c r="A55" s="46" t="inlineStr">
        <is>
          <t>B-17</t>
        </is>
      </c>
      <c r="B55" s="47" t="inlineStr">
        <is>
          <t>MidBossClockwork (스테이지 5 중간)</t>
        </is>
      </c>
      <c r="C55" s="47" t="inlineStr">
        <is>
          <t>보스 (Bosses) — 10~12종 목표</t>
        </is>
      </c>
      <c r="D55" s="47" t="inlineStr">
        <is>
          <t>M3-Q4</t>
        </is>
      </c>
      <c r="E55" s="47" t="n"/>
      <c r="F55" s="46" t="inlineStr">
        <is>
          <t>대기</t>
        </is>
      </c>
      <c r="G55" s="47" t="n"/>
      <c r="H55" s="47" t="inlineStr">
        <is>
          <t>히든</t>
        </is>
      </c>
    </row>
    <row r="56" ht="18" customHeight="1">
      <c r="A56" s="46" t="inlineStr">
        <is>
          <t>B-18</t>
        </is>
      </c>
      <c r="B56" s="47" t="inlineStr">
        <is>
          <t>BossSoulHarvester (스테이지 5 최종 / EA 보스)</t>
        </is>
      </c>
      <c r="C56" s="47" t="inlineStr">
        <is>
          <t>보스 (Bosses) — 10~12종 목표</t>
        </is>
      </c>
      <c r="D56" s="47" t="inlineStr">
        <is>
          <t>M3-Q4</t>
        </is>
      </c>
      <c r="E56" s="47" t="n"/>
      <c r="F56" s="46" t="inlineStr">
        <is>
          <t>대기</t>
        </is>
      </c>
      <c r="G56" s="47" t="n"/>
      <c r="H56" s="47" t="inlineStr">
        <is>
          <t>히든</t>
        </is>
      </c>
    </row>
    <row r="57" ht="18" customHeight="1">
      <c r="A57" s="46" t="inlineStr">
        <is>
          <t>B-19</t>
        </is>
      </c>
      <c r="B57" s="47" t="inlineStr">
        <is>
          <t>BossAbyssEmperor (Act3 최종 / 진엔딩 보스)</t>
        </is>
      </c>
      <c r="C57" s="47" t="inlineStr">
        <is>
          <t>보스 (Bosses) — 10~12종 목표</t>
        </is>
      </c>
      <c r="D57" s="47" t="inlineStr">
        <is>
          <t>M4-Q9</t>
        </is>
      </c>
      <c r="E57" s="47" t="n"/>
      <c r="F57" s="46" t="inlineStr">
        <is>
          <t>대기</t>
        </is>
      </c>
      <c r="G57" s="47" t="n"/>
      <c r="H57" s="47" t="n"/>
    </row>
    <row r="58" ht="18" customHeight="1">
      <c r="A58" s="46" t="inlineStr">
        <is>
          <t>B-20</t>
        </is>
      </c>
      <c r="B58" s="47" t="inlineStr">
        <is>
          <t>HiddenBossEcho [히든·도전 모드]</t>
        </is>
      </c>
      <c r="C58" s="47" t="inlineStr">
        <is>
          <t>보스 (Bosses) — 10~12종 목표</t>
        </is>
      </c>
      <c r="D58" s="47" t="inlineStr">
        <is>
          <t>M4-Q10</t>
        </is>
      </c>
      <c r="E58" s="47" t="n"/>
      <c r="F58" s="46" t="inlineStr">
        <is>
          <t>대기</t>
        </is>
      </c>
      <c r="G58" s="47" t="n"/>
      <c r="H58" s="47" t="inlineStr">
        <is>
          <t>히든</t>
        </is>
      </c>
    </row>
    <row r="59" ht="18" customHeight="1">
      <c r="A59" s="46" t="inlineStr">
        <is>
          <t>B-21</t>
        </is>
      </c>
      <c r="B59" s="47" t="inlineStr">
        <is>
          <t>HiddenBossFirstFallen [히든·진엔딩]</t>
        </is>
      </c>
      <c r="C59" s="47" t="inlineStr">
        <is>
          <t>보스 (Bosses) — 10~12종 목표</t>
        </is>
      </c>
      <c r="D59" s="47" t="inlineStr">
        <is>
          <t>M4-Q10</t>
        </is>
      </c>
      <c r="E59" s="47" t="n"/>
      <c r="F59" s="46" t="inlineStr">
        <is>
          <t>대기</t>
        </is>
      </c>
      <c r="G59" s="47" t="n"/>
      <c r="H59" s="47" t="inlineStr">
        <is>
          <t>히든</t>
        </is>
      </c>
    </row>
    <row r="60" ht="18" customHeight="1">
      <c r="A60" s="46" t="inlineStr">
        <is>
          <t>S-01</t>
        </is>
      </c>
      <c r="B60" s="47" t="inlineStr">
        <is>
          <t>Stage 1 — 균열의 입구</t>
        </is>
      </c>
      <c r="C60" s="47" t="inlineStr">
        <is>
          <t>스테이지·방 타입 (Stages &amp; Rooms)</t>
        </is>
      </c>
      <c r="D60" s="47" t="inlineStr">
        <is>
          <t>M1잔여</t>
        </is>
      </c>
      <c r="E60" s="47" t="n"/>
      <c r="F60" s="46" t="inlineStr">
        <is>
          <t>완료</t>
        </is>
      </c>
      <c r="G60" s="47" t="n"/>
      <c r="H60" s="47" t="inlineStr">
        <is>
          <t>M1완료</t>
        </is>
      </c>
    </row>
    <row r="61" ht="18" customHeight="1">
      <c r="A61" s="46" t="inlineStr">
        <is>
          <t>S-02</t>
        </is>
      </c>
      <c r="B61" s="47" t="inlineStr">
        <is>
          <t>Stage 1 룸별 지형 레이아웃 차별화</t>
        </is>
      </c>
      <c r="C61" s="47" t="inlineStr">
        <is>
          <t>스테이지·방 타입 (Stages &amp; Rooms)</t>
        </is>
      </c>
      <c r="D61" s="47" t="inlineStr">
        <is>
          <t>M1잔여</t>
        </is>
      </c>
      <c r="E61" s="47" t="n"/>
      <c r="F61" s="46" t="inlineStr">
        <is>
          <t>완료</t>
        </is>
      </c>
      <c r="G61" s="47" t="n"/>
      <c r="H61" s="47" t="inlineStr">
        <is>
          <t>M1완료</t>
        </is>
      </c>
    </row>
    <row r="62" ht="18" customHeight="1">
      <c r="A62" s="46" t="inlineStr">
        <is>
          <t>S-03</t>
        </is>
      </c>
      <c r="B62" s="47" t="inlineStr">
        <is>
          <t>Stage1 대표방 새 환경 · v1 미술 방향 선택 · 연결 구현 (Unity 검증 대기)</t>
        </is>
      </c>
      <c r="C62" s="47" t="inlineStr">
        <is>
          <t>스테이지·방 타입 (Stages &amp; Rooms)</t>
        </is>
      </c>
      <c r="D62" s="47" t="inlineStr">
        <is>
          <t>M2-Q1~M2-Q2</t>
        </is>
      </c>
      <c r="E62" s="47" t="n"/>
      <c r="F62" s="46" t="inlineStr">
        <is>
          <t>완료</t>
        </is>
      </c>
      <c r="G62" s="47" t="inlineStr">
        <is>
          <t>2026-09-30</t>
        </is>
      </c>
      <c r="H62" s="47" t="inlineStr">
        <is>
          <t>대표방 사용자 정상변경 확인 완료 · 제목은 콘텐츠 ID 보존용 · 전 방 검증 별도</t>
        </is>
      </c>
    </row>
    <row r="63" ht="18" customHeight="1">
      <c r="A63" s="46" t="inlineStr">
        <is>
          <t>S-04</t>
        </is>
      </c>
      <c r="B63" s="47" t="inlineStr">
        <is>
          <t>Stage1 전11방 컨셉 통일 · 플랫포머 이동/고저 레벨 제작</t>
        </is>
      </c>
      <c r="C63" s="47" t="inlineStr">
        <is>
          <t>스테이지·방 타입 (Stages &amp; Rooms)</t>
        </is>
      </c>
      <c r="D63" s="47" t="inlineStr">
        <is>
          <t>M2-Q1~M2-Q2</t>
        </is>
      </c>
      <c r="E63" s="47" t="n"/>
      <c r="F63" s="46" t="inlineStr">
        <is>
          <t>진행 중</t>
        </is>
      </c>
      <c r="G63" s="47" t="inlineStr"/>
      <c r="H63" s="47" t="inlineStr">
        <is>
          <t>구현·Run 씬 적용·커밋/푸시 완료(52d024b) · 전체 플레이 검증 대기 · develop 미병합</t>
        </is>
      </c>
    </row>
    <row r="64" ht="18" customHeight="1">
      <c r="A64" s="46" t="inlineStr">
        <is>
          <t>S-05</t>
        </is>
      </c>
      <c r="B64" s="47" t="inlineStr">
        <is>
          <t>Stage 2 — 불꽃의 회랑</t>
        </is>
      </c>
      <c r="C64" s="47" t="inlineStr">
        <is>
          <t>스테이지·방 타입 (Stages &amp; Rooms)</t>
        </is>
      </c>
      <c r="D64" s="47" t="inlineStr">
        <is>
          <t>M2-Q1~M2-Q2</t>
        </is>
      </c>
      <c r="E64" s="47" t="n"/>
      <c r="F64" s="46" t="inlineStr">
        <is>
          <t>완료</t>
        </is>
      </c>
      <c r="G64" s="47" t="n"/>
      <c r="H64" s="47" t="inlineStr">
        <is>
          <t>M1완료</t>
        </is>
      </c>
    </row>
    <row r="65" ht="18" customHeight="1">
      <c r="A65" s="46" t="inlineStr">
        <is>
          <t>S-06</t>
        </is>
      </c>
      <c r="B65" s="47" t="inlineStr">
        <is>
          <t>Stage 2 골격 선행 (Room6+적 스탯+레이아웃)</t>
        </is>
      </c>
      <c r="C65" s="47" t="inlineStr">
        <is>
          <t>스테이지·방 타입 (Stages &amp; Rooms)</t>
        </is>
      </c>
      <c r="D65" s="47" t="inlineStr">
        <is>
          <t>M1잔여</t>
        </is>
      </c>
      <c r="E65" s="47" t="n"/>
      <c r="F65" s="46" t="inlineStr">
        <is>
          <t>대기</t>
        </is>
      </c>
      <c r="G65" s="47" t="n"/>
      <c r="H65" s="47" t="n"/>
    </row>
    <row r="66" ht="18" customHeight="1">
      <c r="A66" s="46" t="inlineStr">
        <is>
          <t>S-07</t>
        </is>
      </c>
      <c r="B66" s="47" t="inlineStr">
        <is>
          <t>Stage 3 — 왕좌의 잔해</t>
        </is>
      </c>
      <c r="C66" s="47" t="inlineStr">
        <is>
          <t>스테이지·방 타입 (Stages &amp; Rooms)</t>
        </is>
      </c>
      <c r="D66" s="47" t="inlineStr">
        <is>
          <t>M2-Q2</t>
        </is>
      </c>
      <c r="E66" s="47" t="n"/>
      <c r="F66" s="46" t="inlineStr">
        <is>
          <t>대기</t>
        </is>
      </c>
      <c r="G66" s="47" t="n"/>
      <c r="H66" s="47" t="n"/>
    </row>
    <row r="67" ht="18" customHeight="1">
      <c r="A67" s="46" t="inlineStr">
        <is>
          <t>S-08</t>
        </is>
      </c>
      <c r="B67" s="47" t="inlineStr">
        <is>
          <t>Stage 4 — 빙결의 영지</t>
        </is>
      </c>
      <c r="C67" s="47" t="inlineStr">
        <is>
          <t>스테이지·방 타입 (Stages &amp; Rooms)</t>
        </is>
      </c>
      <c r="D67" s="47" t="inlineStr">
        <is>
          <t>M3-Q3</t>
        </is>
      </c>
      <c r="E67" s="47" t="n"/>
      <c r="F67" s="46" t="inlineStr">
        <is>
          <t>대기</t>
        </is>
      </c>
      <c r="G67" s="47" t="n"/>
      <c r="H67" s="47" t="inlineStr">
        <is>
          <t>히든</t>
        </is>
      </c>
    </row>
    <row r="68" ht="18" customHeight="1">
      <c r="A68" s="46" t="inlineStr">
        <is>
          <t>S-09</t>
        </is>
      </c>
      <c r="B68" s="47" t="inlineStr">
        <is>
          <t>Stage 5 — 심연의 핵</t>
        </is>
      </c>
      <c r="C68" s="47" t="inlineStr">
        <is>
          <t>스테이지·방 타입 (Stages &amp; Rooms)</t>
        </is>
      </c>
      <c r="D68" s="47" t="inlineStr">
        <is>
          <t>M3-Q4</t>
        </is>
      </c>
      <c r="E68" s="47" t="n"/>
      <c r="F68" s="46" t="inlineStr">
        <is>
          <t>완료</t>
        </is>
      </c>
      <c r="G68" s="47" t="n"/>
      <c r="H68" s="47" t="inlineStr">
        <is>
          <t>M1완료</t>
        </is>
      </c>
    </row>
    <row r="69" ht="18" customHeight="1">
      <c r="A69" s="46" t="inlineStr">
        <is>
          <t>S-10</t>
        </is>
      </c>
      <c r="B69" s="47" t="inlineStr">
        <is>
          <t>Hidden Stage — 첫 추락자의 회랑</t>
        </is>
      </c>
      <c r="C69" s="47" t="inlineStr">
        <is>
          <t>스테이지·방 타입 (Stages &amp; Rooms)</t>
        </is>
      </c>
      <c r="D69" s="47" t="inlineStr">
        <is>
          <t>M4-Q10</t>
        </is>
      </c>
      <c r="E69" s="47" t="n"/>
      <c r="F69" s="46" t="inlineStr">
        <is>
          <t>완료</t>
        </is>
      </c>
      <c r="G69" s="47" t="n"/>
      <c r="H69" s="47" t="inlineStr">
        <is>
          <t>M1완료</t>
        </is>
      </c>
    </row>
    <row r="70" ht="18" customHeight="1">
      <c r="A70" s="46" t="inlineStr">
        <is>
          <t>S-11</t>
        </is>
      </c>
      <c r="B70" s="47" t="inlineStr">
        <is>
          <t>방 타입: 전투/엘리트/보스</t>
        </is>
      </c>
      <c r="C70" s="47" t="inlineStr">
        <is>
          <t>스테이지·방 타입 (Stages &amp; Rooms)</t>
        </is>
      </c>
      <c r="D70" s="47" t="inlineStr">
        <is>
          <t>M1잔여</t>
        </is>
      </c>
      <c r="E70" s="47" t="n"/>
      <c r="F70" s="46" t="inlineStr">
        <is>
          <t>완료</t>
        </is>
      </c>
      <c r="G70" s="47" t="n"/>
      <c r="H70" s="47" t="inlineStr">
        <is>
          <t>M1완료</t>
        </is>
      </c>
    </row>
    <row r="71" ht="18" customHeight="1">
      <c r="A71" s="46" t="inlineStr">
        <is>
          <t>S-12</t>
        </is>
      </c>
      <c r="B71" s="47" t="inlineStr">
        <is>
          <t>방 타입: 이벤트 (분기 선택)</t>
        </is>
      </c>
      <c r="C71" s="47" t="inlineStr">
        <is>
          <t>스테이지·방 타입 (Stages &amp; Rooms)</t>
        </is>
      </c>
      <c r="D71" s="47" t="inlineStr">
        <is>
          <t>M2-Q2</t>
        </is>
      </c>
      <c r="E71" s="47" t="n"/>
      <c r="F71" s="46" t="inlineStr">
        <is>
          <t>완료</t>
        </is>
      </c>
      <c r="G71" s="47" t="n"/>
      <c r="H71" s="47" t="inlineStr">
        <is>
          <t>M1완료</t>
        </is>
      </c>
    </row>
    <row r="72" ht="18" customHeight="1">
      <c r="A72" s="46" t="inlineStr">
        <is>
          <t>S-13</t>
        </is>
      </c>
      <c r="B72" s="47" t="inlineStr">
        <is>
          <t>방 타입: 휴식 (회복 vs 강화)</t>
        </is>
      </c>
      <c r="C72" s="47" t="inlineStr">
        <is>
          <t>스테이지·방 타입 (Stages &amp; Rooms)</t>
        </is>
      </c>
      <c r="D72" s="47" t="inlineStr">
        <is>
          <t>M2-Q2</t>
        </is>
      </c>
      <c r="E72" s="47" t="n"/>
      <c r="F72" s="46" t="inlineStr">
        <is>
          <t>완료</t>
        </is>
      </c>
      <c r="G72" s="47" t="n"/>
      <c r="H72" s="47" t="inlineStr">
        <is>
          <t>M1완료</t>
        </is>
      </c>
    </row>
    <row r="73" ht="18" customHeight="1">
      <c r="A73" s="46" t="inlineStr">
        <is>
          <t>S-14</t>
        </is>
      </c>
      <c r="B73" s="47" t="inlineStr">
        <is>
          <t>방 타입: 상점 (goldShards 소비처)</t>
        </is>
      </c>
      <c r="C73" s="47" t="inlineStr">
        <is>
          <t>스테이지·방 타입 (Stages &amp; Rooms)</t>
        </is>
      </c>
      <c r="D73" s="47" t="inlineStr">
        <is>
          <t>M2-Q2</t>
        </is>
      </c>
      <c r="E73" s="47" t="n"/>
      <c r="F73" s="46" t="inlineStr">
        <is>
          <t>대기</t>
        </is>
      </c>
      <c r="G73" s="47" t="n"/>
      <c r="H73" s="47" t="n"/>
    </row>
    <row r="74" ht="18" customHeight="1">
      <c r="A74" s="46" t="inlineStr">
        <is>
          <t>S-15</t>
        </is>
      </c>
      <c r="B74" s="47" t="inlineStr">
        <is>
          <t>노드 맵 분기 (단순)</t>
        </is>
      </c>
      <c r="C74" s="47" t="inlineStr">
        <is>
          <t>스테이지·방 타입 (Stages &amp; Rooms)</t>
        </is>
      </c>
      <c r="D74" s="47" t="inlineStr">
        <is>
          <t>M2-Q1~M2-Q2</t>
        </is>
      </c>
      <c r="E74" s="47" t="n"/>
      <c r="F74" s="46" t="inlineStr">
        <is>
          <t>대기</t>
        </is>
      </c>
      <c r="G74" s="47" t="n"/>
      <c r="H74" s="47" t="n"/>
    </row>
    <row r="75" ht="18" customHeight="1">
      <c r="A75" s="46" t="inlineStr">
        <is>
          <t>S-16</t>
        </is>
      </c>
      <c r="B75" s="47" t="inlineStr">
        <is>
          <t>보상 문 기반 경로 선택 확장 (월드 문 우선 · 전체 노드 맵은 조건부)</t>
        </is>
      </c>
      <c r="C75" s="47" t="inlineStr">
        <is>
          <t>스테이지·방 타입 (Stages &amp; Rooms)</t>
        </is>
      </c>
      <c r="D75" s="47" t="inlineStr">
        <is>
          <t>M3-Q3~M3-Q4</t>
        </is>
      </c>
      <c r="E75" s="47" t="n"/>
      <c r="F75" s="46" t="inlineStr">
        <is>
          <t>대기</t>
        </is>
      </c>
      <c r="G75" s="47" t="n"/>
      <c r="H75" s="47" t="n"/>
    </row>
    <row r="76" ht="18" customHeight="1">
      <c r="A76" s="46" t="inlineStr">
        <is>
          <t>S-17</t>
        </is>
      </c>
      <c r="B76" s="47" t="inlineStr">
        <is>
          <t>Stage1 첫 플레이 행동 기반 튜토리얼</t>
        </is>
      </c>
      <c r="C76" s="47" t="inlineStr">
        <is>
          <t>스테이지·방 타입 (Stages &amp; Rooms)</t>
        </is>
      </c>
      <c r="D76" s="47" t="inlineStr">
        <is>
          <t>M2-Q2</t>
        </is>
      </c>
      <c r="E76" s="47" t="inlineStr">
        <is>
          <t>Claude CLI / Codex 인수</t>
        </is>
      </c>
      <c r="F76" s="46" t="inlineStr">
        <is>
          <t>진행 중</t>
        </is>
      </c>
      <c r="G76" s="47" t="n"/>
      <c r="H76" s="47" t="inlineStr">
        <is>
          <t>구현·정적 인수 완료 · 키보드/패드 학습·완료/생략 저장 · 사용자 검증대기 (2026-10-04)</t>
        </is>
      </c>
    </row>
    <row r="77" ht="18" customHeight="1">
      <c r="A77" s="46" t="inlineStr">
        <is>
          <t>M-01</t>
        </is>
      </c>
      <c r="B77" s="47" t="inlineStr">
        <is>
          <t>심연의 제단 — 영구 업그레이드 (최대HP·공격력)</t>
        </is>
      </c>
      <c r="C77" s="47" t="inlineStr">
        <is>
          <t>메타 진행 (Meta Progression)</t>
        </is>
      </c>
      <c r="D77" s="47" t="inlineStr">
        <is>
          <t>M2-Q1</t>
        </is>
      </c>
      <c r="E77" s="47" t="n"/>
      <c r="F77" s="46" t="inlineStr">
        <is>
          <t>완료</t>
        </is>
      </c>
      <c r="G77" s="47" t="n"/>
      <c r="H77" s="47" t="inlineStr">
        <is>
          <t>M1완료</t>
        </is>
      </c>
    </row>
    <row r="78" ht="18" customHeight="1">
      <c r="A78" s="46" t="inlineStr">
        <is>
          <t>M-02</t>
        </is>
      </c>
      <c r="B78" s="47" t="inlineStr">
        <is>
          <t>유물 가차 — 잊힌 것들의 좌판 (유물 6종 · 장착 3칸 · 심연 조각 확률 소비처)</t>
        </is>
      </c>
      <c r="C78" s="47" t="inlineStr">
        <is>
          <t>메타 진행 (Meta Progression)</t>
        </is>
      </c>
      <c r="D78" s="47" t="inlineStr">
        <is>
          <t>M2-Q2</t>
        </is>
      </c>
      <c r="E78" s="47" t="n"/>
      <c r="F78" s="46" t="inlineStr">
        <is>
          <t>완료</t>
        </is>
      </c>
      <c r="G78" s="47" t="n"/>
      <c r="H78" s="47" t="inlineStr">
        <is>
          <t>M1완료</t>
        </is>
      </c>
    </row>
    <row r="79" ht="18" customHeight="1">
      <c r="A79" s="46" t="inlineStr">
        <is>
          <t>M-03</t>
        </is>
      </c>
      <c r="B79" s="47" t="inlineStr">
        <is>
          <t>1단계 해금 (FormC + 스킬 3 + 특전 1)</t>
        </is>
      </c>
      <c r="C79" s="47" t="inlineStr">
        <is>
          <t>메타 진행 (Meta Progression)</t>
        </is>
      </c>
      <c r="D79" s="47" t="inlineStr">
        <is>
          <t>M2-Q2</t>
        </is>
      </c>
      <c r="E79" s="47" t="n"/>
      <c r="F79" s="46" t="inlineStr">
        <is>
          <t>대기</t>
        </is>
      </c>
      <c r="G79" s="47" t="n"/>
      <c r="H79" s="47" t="n"/>
    </row>
    <row r="80" ht="18" customHeight="1">
      <c r="A80" s="46" t="inlineStr">
        <is>
          <t>M-04</t>
        </is>
      </c>
      <c r="B80" s="47" t="inlineStr">
        <is>
          <t>2단계 해금 (FormD~E + 스킬 15)</t>
        </is>
      </c>
      <c r="C80" s="47" t="inlineStr">
        <is>
          <t>메타 진행 (Meta Progression)</t>
        </is>
      </c>
      <c r="D80" s="47" t="inlineStr">
        <is>
          <t>M3-Q3</t>
        </is>
      </c>
      <c r="E80" s="47" t="n"/>
      <c r="F80" s="46" t="inlineStr">
        <is>
          <t>대기</t>
        </is>
      </c>
      <c r="G80" s="47" t="n"/>
      <c r="H80" s="47" t="n"/>
    </row>
    <row r="81" ht="18" customHeight="1">
      <c r="A81" s="46" t="inlineStr">
        <is>
          <t>M-05</t>
        </is>
      </c>
      <c r="B81" s="47" t="inlineStr">
        <is>
          <t>3단계 (메타 상점 UI + essence_pure)</t>
        </is>
      </c>
      <c r="C81" s="47" t="inlineStr">
        <is>
          <t>메타 진행 (Meta Progression)</t>
        </is>
      </c>
      <c r="D81" s="47" t="inlineStr">
        <is>
          <t>M3-Q5</t>
        </is>
      </c>
      <c r="E81" s="47" t="n"/>
      <c r="F81" s="46" t="inlineStr">
        <is>
          <t>대기</t>
        </is>
      </c>
      <c r="G81" s="47" t="n"/>
      <c r="H81" s="47" t="n"/>
    </row>
    <row r="82" ht="18" customHeight="1">
      <c r="A82" s="46" t="inlineStr">
        <is>
          <t>M-06</t>
        </is>
      </c>
      <c r="B82" s="47" t="inlineStr">
        <is>
          <t>4단계 (FormF~J + 스킬 30 + 진엔딩 키)</t>
        </is>
      </c>
      <c r="C82" s="47" t="inlineStr">
        <is>
          <t>메타 진행 (Meta Progression)</t>
        </is>
      </c>
      <c r="D82" s="47" t="inlineStr">
        <is>
          <t>M4-Q9</t>
        </is>
      </c>
      <c r="E82" s="47" t="n"/>
      <c r="F82" s="46" t="inlineStr">
        <is>
          <t>대기</t>
        </is>
      </c>
      <c r="G82" s="47" t="n"/>
      <c r="H82" s="47" t="n"/>
    </row>
    <row r="83" ht="18" customHeight="1">
      <c r="A83" s="46" t="inlineStr">
        <is>
          <t>M-07</t>
        </is>
      </c>
      <c r="B83" s="47" t="inlineStr">
        <is>
          <t>5단계 (히든 폼·히든 보스 해금)</t>
        </is>
      </c>
      <c r="C83" s="47" t="inlineStr">
        <is>
          <t>메타 진행 (Meta Progression)</t>
        </is>
      </c>
      <c r="D83" s="47" t="inlineStr">
        <is>
          <t>M4-Q10</t>
        </is>
      </c>
      <c r="E83" s="47" t="n"/>
      <c r="F83" s="46" t="inlineStr">
        <is>
          <t>대기</t>
        </is>
      </c>
      <c r="G83" s="47" t="n"/>
      <c r="H83" s="47" t="inlineStr">
        <is>
          <t>히든</t>
        </is>
      </c>
    </row>
    <row r="84" ht="18" customHeight="1">
      <c r="A84" s="46" t="inlineStr">
        <is>
          <t>M-08</t>
        </is>
      </c>
      <c r="B84" s="47" t="inlineStr">
        <is>
          <t>도감 (Codex) UI</t>
        </is>
      </c>
      <c r="C84" s="47" t="inlineStr">
        <is>
          <t>메타 진행 (Meta Progression)</t>
        </is>
      </c>
      <c r="D84" s="47" t="inlineStr">
        <is>
          <t>M2-Q2</t>
        </is>
      </c>
      <c r="E84" s="47" t="n"/>
      <c r="F84" s="46" t="inlineStr">
        <is>
          <t>완료</t>
        </is>
      </c>
      <c r="G84" s="47" t="n"/>
      <c r="H84" s="47" t="inlineStr">
        <is>
          <t>M1완료</t>
        </is>
      </c>
    </row>
    <row r="85" ht="18" customHeight="1">
      <c r="A85" s="46" t="inlineStr">
        <is>
          <t>M-09</t>
        </is>
      </c>
      <c r="B85" s="47" t="inlineStr">
        <is>
          <t>업적·Steam 실적 30개 (EA)</t>
        </is>
      </c>
      <c r="C85" s="47" t="inlineStr">
        <is>
          <t>메타 진행 (Meta Progression)</t>
        </is>
      </c>
      <c r="D85" s="47" t="inlineStr">
        <is>
          <t>M3-Q5</t>
        </is>
      </c>
      <c r="E85" s="47" t="n"/>
      <c r="F85" s="46" t="inlineStr">
        <is>
          <t>대기</t>
        </is>
      </c>
      <c r="G85" s="47" t="n"/>
      <c r="H85" s="47" t="n"/>
    </row>
    <row r="86" ht="18" customHeight="1">
      <c r="A86" s="46" t="inlineStr">
        <is>
          <t>M-10</t>
        </is>
      </c>
      <c r="B86" s="47" t="inlineStr">
        <is>
          <t>업적 추가 30개 (v1.0)</t>
        </is>
      </c>
      <c r="C86" s="47" t="inlineStr">
        <is>
          <t>메타 진행 (Meta Progression)</t>
        </is>
      </c>
      <c r="D86" s="47" t="inlineStr">
        <is>
          <t>M4-Q10</t>
        </is>
      </c>
      <c r="E86" s="47" t="n"/>
      <c r="F86" s="46" t="inlineStr">
        <is>
          <t>대기</t>
        </is>
      </c>
      <c r="G86" s="47" t="n"/>
      <c r="H86" s="47" t="n"/>
    </row>
    <row r="87" ht="18" customHeight="1">
      <c r="A87" s="46" t="inlineStr">
        <is>
          <t>N-01</t>
        </is>
      </c>
      <c r="B87" s="47" t="inlineStr">
        <is>
          <t>장편소설 『심연 지도』 3권 (게임 전사 SoT, 114장 48.7만자)</t>
        </is>
      </c>
      <c r="C87" s="47" t="inlineStr">
        <is>
          <t>스토리·서사 (Story &amp; Narrative)</t>
        </is>
      </c>
      <c r="D87" s="47" t="inlineStr">
        <is>
          <t>M2-Q2</t>
        </is>
      </c>
      <c r="E87" s="47" t="n"/>
      <c r="F87" s="46" t="inlineStr">
        <is>
          <t>완료</t>
        </is>
      </c>
      <c r="G87" s="47" t="n"/>
      <c r="H87" s="47" t="inlineStr">
        <is>
          <t>M1완료</t>
        </is>
      </c>
    </row>
    <row r="88" ht="18" customHeight="1">
      <c r="A88" s="46" t="inlineStr">
        <is>
          <t>N-02</t>
        </is>
      </c>
      <c r="B88" s="47" t="inlineStr">
        <is>
          <t>기록자 NPC 서사 (진행도 델타 분기 3챕터)</t>
        </is>
      </c>
      <c r="C88" s="47" t="inlineStr">
        <is>
          <t>스토리·서사 (Story &amp; Narrative)</t>
        </is>
      </c>
      <c r="D88" s="47" t="inlineStr">
        <is>
          <t>M2-Q1</t>
        </is>
      </c>
      <c r="E88" s="47" t="n"/>
      <c r="F88" s="46" t="inlineStr">
        <is>
          <t>완료</t>
        </is>
      </c>
      <c r="G88" s="47" t="n"/>
      <c r="H88" s="47" t="inlineStr">
        <is>
          <t>M1완료</t>
        </is>
      </c>
    </row>
    <row r="89" ht="18" customHeight="1">
      <c r="A89" s="46" t="inlineStr">
        <is>
          <t>N-03</t>
        </is>
      </c>
      <c r="B89" s="47" t="inlineStr">
        <is>
          <t>각인사 NPC 폼 4종 내력 (N-2, 화자별 진행도 v3)</t>
        </is>
      </c>
      <c r="C89" s="47" t="inlineStr">
        <is>
          <t>스토리·서사 (Story &amp; Narrative)</t>
        </is>
      </c>
      <c r="D89" s="47" t="inlineStr">
        <is>
          <t>M2-Q2</t>
        </is>
      </c>
      <c r="E89" s="47" t="n"/>
      <c r="F89" s="46" t="inlineStr">
        <is>
          <t>완료</t>
        </is>
      </c>
      <c r="G89" s="47" t="n"/>
      <c r="H89" s="47" t="inlineStr">
        <is>
          <t>M1완료</t>
        </is>
      </c>
    </row>
    <row r="90" ht="18" customHeight="1">
      <c r="A90" s="46" t="inlineStr">
        <is>
          <t>N-04</t>
        </is>
      </c>
      <c r="B90" s="47" t="inlineStr">
        <is>
          <t>4-3 전제·인칭 규약 확정 (각인사≠하란, 자막 1인칭)</t>
        </is>
      </c>
      <c r="C90" s="47" t="inlineStr">
        <is>
          <t>스토리·서사 (Story &amp; Narrative)</t>
        </is>
      </c>
      <c r="D90" s="47" t="inlineStr">
        <is>
          <t>M2-Q2</t>
        </is>
      </c>
      <c r="E90" s="47" t="n"/>
      <c r="F90" s="46" t="inlineStr">
        <is>
          <t>완료</t>
        </is>
      </c>
      <c r="G90" s="47" t="n"/>
      <c r="H90" s="47" t="inlineStr">
        <is>
          <t>M1완료</t>
        </is>
      </c>
    </row>
    <row r="91" ht="18" customHeight="1">
      <c r="A91" s="46" t="inlineStr">
        <is>
          <t>N-05</t>
        </is>
      </c>
      <c r="B91" s="47" t="inlineStr">
        <is>
          <t>각인사 대사 표기형 전환 (본 것/들은 것/옮긴 것)</t>
        </is>
      </c>
      <c r="C91" s="47" t="inlineStr">
        <is>
          <t>스토리·서사 (Story &amp; Narrative)</t>
        </is>
      </c>
      <c r="D91" s="47" t="inlineStr">
        <is>
          <t>M2-Q2</t>
        </is>
      </c>
      <c r="E91" s="47" t="n"/>
      <c r="F91" s="46" t="inlineStr">
        <is>
          <t>완료</t>
        </is>
      </c>
      <c r="G91" s="47" t="n"/>
      <c r="H91" s="47" t="inlineStr">
        <is>
          <t>M1완료</t>
        </is>
      </c>
    </row>
    <row r="92" ht="18" customHeight="1">
      <c r="A92" s="46" t="inlineStr">
        <is>
          <t>N-06</t>
        </is>
      </c>
      <c r="B92" s="47" t="inlineStr">
        <is>
          <t>소설↔게임 어휘·화법 대조 + 표기 통일</t>
        </is>
      </c>
      <c r="C92" s="47" t="inlineStr">
        <is>
          <t>스토리·서사 (Story &amp; Narrative)</t>
        </is>
      </c>
      <c r="D92" s="47" t="inlineStr">
        <is>
          <t>M2-Q2</t>
        </is>
      </c>
      <c r="E92" s="47" t="n"/>
      <c r="F92" s="46" t="inlineStr">
        <is>
          <t>완료</t>
        </is>
      </c>
      <c r="G92" s="47" t="n"/>
      <c r="H92" s="47" t="inlineStr">
        <is>
          <t>M1완료</t>
        </is>
      </c>
    </row>
    <row r="93" ht="18" customHeight="1">
      <c r="A93" s="46" t="inlineStr">
        <is>
          <t>N-07</t>
        </is>
      </c>
      <c r="B93" s="47" t="inlineStr">
        <is>
          <t>기록자 화법 재설계 (겪음↔옮김 대비 축)</t>
        </is>
      </c>
      <c r="C93" s="47" t="inlineStr">
        <is>
          <t>스토리·서사 (Story &amp; Narrative)</t>
        </is>
      </c>
      <c r="D93" s="47" t="inlineStr">
        <is>
          <t>M2-Q2</t>
        </is>
      </c>
      <c r="E93" s="47" t="n"/>
      <c r="F93" s="46" t="inlineStr">
        <is>
          <t>완료</t>
        </is>
      </c>
      <c r="G93" s="47" t="n"/>
      <c r="H93" s="47" t="inlineStr">
        <is>
          <t>M1완료</t>
        </is>
      </c>
    </row>
    <row r="94" ht="18" customHeight="1">
      <c r="A94" s="46" t="inlineStr">
        <is>
          <t>N-08</t>
        </is>
      </c>
      <c r="B94" s="47" t="inlineStr">
        <is>
          <t>각인사 닫는 말 (아크 씨앗 재생 자리)</t>
        </is>
      </c>
      <c r="C94" s="47" t="inlineStr">
        <is>
          <t>스토리·서사 (Story &amp; Narrative)</t>
        </is>
      </c>
      <c r="D94" s="47" t="inlineStr">
        <is>
          <t>M2-Q2</t>
        </is>
      </c>
      <c r="E94" s="47" t="n"/>
      <c r="F94" s="46" t="inlineStr">
        <is>
          <t>완료</t>
        </is>
      </c>
      <c r="G94" s="47" t="n"/>
      <c r="H94" s="47" t="inlineStr">
        <is>
          <t>M1완료</t>
        </is>
      </c>
    </row>
    <row r="95" ht="18" customHeight="1">
      <c r="A95" s="46" t="inlineStr">
        <is>
          <t>N-09</t>
        </is>
      </c>
      <c r="B95" s="47" t="inlineStr">
        <is>
          <t>서사 영/일 1차 번역 (기록자·각인사·프롤로그·엔딩 30행)</t>
        </is>
      </c>
      <c r="C95" s="47" t="inlineStr">
        <is>
          <t>스토리·서사 (Story &amp; Narrative)</t>
        </is>
      </c>
      <c r="D95" s="47" t="inlineStr">
        <is>
          <t>M3-Q3</t>
        </is>
      </c>
      <c r="E95" s="47" t="n"/>
      <c r="F95" s="46" t="inlineStr">
        <is>
          <t>완료</t>
        </is>
      </c>
      <c r="G95" s="47" t="n"/>
      <c r="H95" s="47" t="inlineStr">
        <is>
          <t>M1완료</t>
        </is>
      </c>
    </row>
    <row r="96" ht="18" customHeight="1">
      <c r="A96" s="46" t="inlineStr">
        <is>
          <t>N-10</t>
        </is>
      </c>
      <c r="B96" s="47" t="inlineStr">
        <is>
          <t>적 등급 SoT (EnemyTier) + 미드보스 도감 분류</t>
        </is>
      </c>
      <c r="C96" s="47" t="inlineStr">
        <is>
          <t>스토리·서사 (Story &amp; Narrative)</t>
        </is>
      </c>
      <c r="D96" s="47" t="inlineStr">
        <is>
          <t>M2-Q2</t>
        </is>
      </c>
      <c r="E96" s="47" t="n"/>
      <c r="F96" s="46" t="inlineStr">
        <is>
          <t>완료</t>
        </is>
      </c>
      <c r="G96" s="47" t="n"/>
      <c r="H96" s="47" t="inlineStr">
        <is>
          <t>M1완료</t>
        </is>
      </c>
    </row>
    <row r="97" ht="18" customHeight="1">
      <c r="A97" s="46" t="inlineStr">
        <is>
          <t>N-11</t>
        </is>
      </c>
      <c r="B97" s="47" t="inlineStr">
        <is>
          <t>3-2 메타 해금 시스템 (특전 2종 + 옵트인 잠금)</t>
        </is>
      </c>
      <c r="C97" s="47" t="inlineStr">
        <is>
          <t>스토리·서사 (Story &amp; Narrative)</t>
        </is>
      </c>
      <c r="D97" s="47" t="inlineStr">
        <is>
          <t>M2-Q2</t>
        </is>
      </c>
      <c r="E97" s="47" t="n"/>
      <c r="F97" s="46" t="inlineStr">
        <is>
          <t>완료</t>
        </is>
      </c>
      <c r="G97" s="47" t="n"/>
      <c r="H97" s="47" t="inlineStr">
        <is>
          <t>M1완료</t>
        </is>
      </c>
    </row>
    <row r="98" ht="18" customHeight="1">
      <c r="A98" s="46" t="inlineStr">
        <is>
          <t>N-12</t>
        </is>
      </c>
      <c r="B98" s="47" t="inlineStr">
        <is>
          <t>적 피격/사망 SFX (등급 3단계 + 절차 생성기)</t>
        </is>
      </c>
      <c r="C98" s="47" t="inlineStr">
        <is>
          <t>스토리·서사 (Story &amp; Narrative)</t>
        </is>
      </c>
      <c r="D98" s="47" t="inlineStr">
        <is>
          <t>M2-Q2</t>
        </is>
      </c>
      <c r="E98" s="47" t="n"/>
      <c r="F98" s="46" t="inlineStr">
        <is>
          <t>완료</t>
        </is>
      </c>
      <c r="G98" s="47" t="n"/>
      <c r="H98" s="47" t="inlineStr">
        <is>
          <t>M1완료</t>
        </is>
      </c>
    </row>
    <row r="99" ht="18" customHeight="1">
      <c r="A99" s="46" t="inlineStr">
        <is>
          <t>N-13</t>
        </is>
      </c>
      <c r="B99" s="47" t="inlineStr">
        <is>
          <t>아트 방향 전환 (픽셀 -&gt; AI 손그림, ADR-008 전제오류)</t>
        </is>
      </c>
      <c r="C99" s="47" t="inlineStr">
        <is>
          <t>스토리·서사 (Story &amp; Narrative)</t>
        </is>
      </c>
      <c r="D99" s="47" t="inlineStr">
        <is>
          <t>M2-Q2</t>
        </is>
      </c>
      <c r="E99" s="47" t="n"/>
      <c r="F99" s="46" t="inlineStr">
        <is>
          <t>완료</t>
        </is>
      </c>
      <c r="G99" s="47" t="n"/>
      <c r="H99" s="47" t="inlineStr">
        <is>
          <t>M1완료</t>
        </is>
      </c>
    </row>
    <row r="100" ht="18" customHeight="1">
      <c r="A100" s="46" t="inlineStr">
        <is>
          <t>N-14</t>
        </is>
      </c>
      <c r="B100" s="47" t="inlineStr">
        <is>
          <t>폼 4종 손그림 아트 (gen1~3 · 픽셀 전환으로 대체됨)</t>
        </is>
      </c>
      <c r="C100" s="47" t="inlineStr">
        <is>
          <t>스토리·서사 (Story &amp; Narrative)</t>
        </is>
      </c>
      <c r="D100" s="47" t="inlineStr">
        <is>
          <t>M2-Q2</t>
        </is>
      </c>
      <c r="E100" s="47" t="n"/>
      <c r="F100" s="46" t="inlineStr">
        <is>
          <t>완료</t>
        </is>
      </c>
      <c r="G100" s="47" t="n"/>
      <c r="H100" s="47" t="inlineStr">
        <is>
          <t>M1완료</t>
        </is>
      </c>
    </row>
    <row r="101" ht="18" customHeight="1">
      <c r="A101" s="46" t="inlineStr">
        <is>
          <t>N-15</t>
        </is>
      </c>
      <c r="B101" s="47" t="inlineStr">
        <is>
          <t>폼 4종 픽셀아트 재제작 (앵커+state 파생 · 무기 분리)</t>
        </is>
      </c>
      <c r="C101" s="47" t="inlineStr">
        <is>
          <t>스토리·서사 (Story &amp; Narrative)</t>
        </is>
      </c>
      <c r="D101" s="47" t="inlineStr">
        <is>
          <t>M2-Q2~M3-Q3</t>
        </is>
      </c>
      <c r="E101" s="47" t="n"/>
      <c r="F101" s="46" t="inlineStr">
        <is>
          <t>대기</t>
        </is>
      </c>
      <c r="G101" s="47" t="n"/>
      <c r="H101" s="47" t="n"/>
    </row>
    <row r="102" ht="18" customHeight="1">
      <c r="A102" s="46" t="inlineStr">
        <is>
          <t>N-16</t>
        </is>
      </c>
      <c r="B102" s="47" t="inlineStr">
        <is>
          <t>PixelLab 프로필 분할 + 방향 SE 문서 동기화 (671줄 → 4파일)</t>
        </is>
      </c>
      <c r="C102" s="47" t="inlineStr">
        <is>
          <t>스토리·서사 (Story &amp; Narrative)</t>
        </is>
      </c>
      <c r="D102" s="47" t="inlineStr">
        <is>
          <t>M2-Q2</t>
        </is>
      </c>
      <c r="E102" s="47" t="n"/>
      <c r="F102" s="46" t="inlineStr">
        <is>
          <t>완료</t>
        </is>
      </c>
      <c r="G102" s="47" t="n"/>
      <c r="H102" s="47" t="inlineStr">
        <is>
          <t>M1완료</t>
        </is>
      </c>
    </row>
    <row r="103" ht="18" customHeight="1">
      <c r="A103" s="46" t="inlineStr">
        <is>
          <t>N-17</t>
        </is>
      </c>
      <c r="B103" s="47" t="inlineStr">
        <is>
          <t>폼 3벌 SE 몸 확정 (방패·궁수·투척 state · IoU 측정)</t>
        </is>
      </c>
      <c r="C103" s="47" t="inlineStr">
        <is>
          <t>스토리·서사 (Story &amp; Narrative)</t>
        </is>
      </c>
      <c r="D103" s="47" t="inlineStr">
        <is>
          <t>M2-Q2</t>
        </is>
      </c>
      <c r="E103" s="47" t="n"/>
      <c r="F103" s="46" t="inlineStr">
        <is>
          <t>완료</t>
        </is>
      </c>
      <c r="G103" s="47" t="n"/>
      <c r="H103" s="47" t="inlineStr">
        <is>
          <t>M1완료</t>
        </is>
      </c>
    </row>
    <row r="104" ht="18" customHeight="1">
      <c r="A104" s="46" t="inlineStr">
        <is>
          <t>N-18</t>
        </is>
      </c>
      <c r="B104" s="47" t="inlineStr">
        <is>
          <t>폼 3벌 SE 9상태 애니메이션 생성 (27상태 · 잠정 3)</t>
        </is>
      </c>
      <c r="C104" s="47" t="inlineStr">
        <is>
          <t>스토리·서사 (Story &amp; Narrative)</t>
        </is>
      </c>
      <c r="D104" s="47" t="inlineStr">
        <is>
          <t>M2-Q2</t>
        </is>
      </c>
      <c r="E104" s="47" t="n"/>
      <c r="F104" s="46" t="inlineStr">
        <is>
          <t>완료</t>
        </is>
      </c>
      <c r="G104" s="47" t="n"/>
      <c r="H104" s="47" t="inlineStr">
        <is>
          <t>M1완료</t>
        </is>
      </c>
    </row>
    <row r="105" ht="18" customHeight="1">
      <c r="A105" s="46" t="inlineStr">
        <is>
          <t>N-19</t>
        </is>
      </c>
      <c r="B105" s="47" t="inlineStr">
        <is>
          <t>폼 3벌 Unity 임포트·앵커·컨트롤러 배선 (R3)</t>
        </is>
      </c>
      <c r="C105" s="47" t="inlineStr">
        <is>
          <t>스토리·서사 (Story &amp; Narrative)</t>
        </is>
      </c>
      <c r="D105" s="47" t="inlineStr">
        <is>
          <t>M2-Q2</t>
        </is>
      </c>
      <c r="E105" s="47" t="n"/>
      <c r="F105" s="46" t="inlineStr">
        <is>
          <t>완료</t>
        </is>
      </c>
      <c r="G105" s="47" t="n"/>
      <c r="H105" s="47" t="inlineStr">
        <is>
          <t>M1완료</t>
        </is>
      </c>
    </row>
    <row r="106" ht="18" customHeight="1">
      <c r="A106" s="46" t="inlineStr">
        <is>
          <t>N-20</t>
        </is>
      </c>
      <c r="B106" s="47" t="inlineStr">
        <is>
          <t>궁수·투척 원거리 기본 공격 (발사체 · 약 단발 / 강 3체 관통)</t>
        </is>
      </c>
      <c r="C106" s="47" t="inlineStr">
        <is>
          <t>스토리·서사 (Story &amp; Narrative)</t>
        </is>
      </c>
      <c r="D106" s="47" t="inlineStr">
        <is>
          <t>M3-Q3</t>
        </is>
      </c>
      <c r="E106" s="47" t="n"/>
      <c r="F106" s="46" t="inlineStr">
        <is>
          <t>완료</t>
        </is>
      </c>
      <c r="G106" s="47" t="n"/>
      <c r="H106" s="47" t="inlineStr">
        <is>
          <t>M1완료</t>
        </is>
      </c>
    </row>
    <row r="107" ht="18" customHeight="1">
      <c r="A107" s="46" t="inlineStr">
        <is>
          <t>N-21</t>
        </is>
      </c>
      <c r="B107" s="47" t="inlineStr">
        <is>
          <t>방패병 가드 (X 누르고 있기 · 저스트 가드 · 자동 반격 1.5배)</t>
        </is>
      </c>
      <c r="C107" s="47" t="inlineStr">
        <is>
          <t>스토리·서사 (Story &amp; Narrative)</t>
        </is>
      </c>
      <c r="D107" s="47" t="inlineStr">
        <is>
          <t>M3-Q3</t>
        </is>
      </c>
      <c r="E107" s="47" t="n"/>
      <c r="F107" s="46" t="inlineStr">
        <is>
          <t>완료</t>
        </is>
      </c>
      <c r="G107" s="47" t="n"/>
      <c r="H107" s="47" t="inlineStr">
        <is>
          <t>M1완료</t>
        </is>
      </c>
    </row>
    <row r="108" ht="18" customHeight="1">
      <c r="A108" s="46" t="inlineStr">
        <is>
          <t>N-22</t>
        </is>
      </c>
      <c r="B108" s="47" t="inlineStr">
        <is>
          <t>P03 4폼 역할 구별 (궁수 원거리 견제 · 투척사 근거리 한 방 · 검사 흡수 8%)</t>
        </is>
      </c>
      <c r="C108" s="47" t="inlineStr">
        <is>
          <t>스토리·서사 (Story &amp; Narrative)</t>
        </is>
      </c>
      <c r="D108" s="47" t="inlineStr">
        <is>
          <t>M3-Q4</t>
        </is>
      </c>
      <c r="E108" s="47" t="n"/>
      <c r="F108" s="46" t="inlineStr">
        <is>
          <t>완료</t>
        </is>
      </c>
      <c r="G108" s="47" t="n"/>
      <c r="H108" s="47" t="inlineStr">
        <is>
          <t>M1완료</t>
        </is>
      </c>
    </row>
    <row r="109" ht="18" customHeight="1">
      <c r="A109" s="46" t="inlineStr">
        <is>
          <t>N-23</t>
        </is>
      </c>
      <c r="B109" s="47" t="inlineStr">
        <is>
          <t>P04 A/B/C 시범 · 시각 피드백 · A 입력 여유 (사용자 기능 검증)</t>
        </is>
      </c>
      <c r="C109" s="47" t="inlineStr">
        <is>
          <t>스토리·서사 (Story &amp; Narrative)</t>
        </is>
      </c>
      <c r="D109" s="47" t="inlineStr">
        <is>
          <t>M3-Q4</t>
        </is>
      </c>
      <c r="E109" s="47" t="n"/>
      <c r="F109" s="46" t="inlineStr">
        <is>
          <t>완료</t>
        </is>
      </c>
      <c r="G109" s="47" t="n"/>
      <c r="H109" s="47" t="inlineStr">
        <is>
          <t>M1완료</t>
        </is>
      </c>
    </row>
    <row r="110" ht="18" customHeight="1">
      <c r="A110" s="46" t="inlineStr">
        <is>
          <t>N-24</t>
        </is>
      </c>
      <c r="B110" s="47" t="inlineStr">
        <is>
          <t>무기 스프라이트 4종 큐레이션 확정 (sword0·bow0·shield15·dagger6 · 반전은 날붙이만)</t>
        </is>
      </c>
      <c r="C110" s="47" t="inlineStr">
        <is>
          <t>스토리·서사 (Story &amp; Narrative)</t>
        </is>
      </c>
      <c r="D110" s="47" t="inlineStr">
        <is>
          <t>M2-Q2</t>
        </is>
      </c>
      <c r="E110" s="47" t="n"/>
      <c r="F110" s="46" t="inlineStr">
        <is>
          <t>완료</t>
        </is>
      </c>
      <c r="G110" s="47" t="n"/>
      <c r="H110" s="47" t="inlineStr">
        <is>
          <t>M1완료</t>
        </is>
      </c>
    </row>
    <row r="111" ht="18" customHeight="1">
      <c r="A111" s="46" t="inlineStr">
        <is>
          <t>N-25</t>
        </is>
      </c>
      <c r="B111" s="47" t="inlineStr">
        <is>
          <t>적 12종 소설 기반 기획 + 화풍 확정(pro · 스컬식 문구)</t>
        </is>
      </c>
      <c r="C111" s="47" t="inlineStr">
        <is>
          <t>스토리·서사 (Story &amp; Narrative)</t>
        </is>
      </c>
      <c r="D111" s="47" t="inlineStr">
        <is>
          <t>M3-Q3</t>
        </is>
      </c>
      <c r="E111" s="47" t="n"/>
      <c r="F111" s="46" t="inlineStr">
        <is>
          <t>완료</t>
        </is>
      </c>
      <c r="G111" s="47" t="n"/>
      <c r="H111" s="47" t="inlineStr">
        <is>
          <t>M1완료</t>
        </is>
      </c>
    </row>
    <row r="112" ht="18" customHeight="1">
      <c r="A112" s="46" t="inlineStr">
        <is>
          <t>N-26</t>
        </is>
      </c>
      <c r="B112" s="47" t="inlineStr">
        <is>
          <t>적 근접 병사(빈 갑옷) 몸 · 애니메이션 4 (SE · 건메탈)</t>
        </is>
      </c>
      <c r="C112" s="47" t="inlineStr">
        <is>
          <t>스토리·서사 (Story &amp; Narrative)</t>
        </is>
      </c>
      <c r="D112" s="47" t="inlineStr">
        <is>
          <t>M3-Q3</t>
        </is>
      </c>
      <c r="E112" s="47" t="n"/>
      <c r="F112" s="46" t="inlineStr">
        <is>
          <t>완료</t>
        </is>
      </c>
      <c r="G112" s="47" t="n"/>
      <c r="H112" s="47" t="inlineStr">
        <is>
          <t>M1완료</t>
        </is>
      </c>
    </row>
    <row r="113" ht="18" customHeight="1">
      <c r="A113" s="46" t="inlineStr">
        <is>
          <t>N-27</t>
        </is>
      </c>
      <c r="B113" s="47" t="inlineStr">
        <is>
          <t>적 근접 병사 Unity 재생 (공격·경직 시간제 · Animator 재사용 · 적 빌더 1/12)</t>
        </is>
      </c>
      <c r="C113" s="47" t="inlineStr">
        <is>
          <t>스토리·서사 (Story &amp; Narrative)</t>
        </is>
      </c>
      <c r="D113" s="47" t="inlineStr">
        <is>
          <t>M3-Q3</t>
        </is>
      </c>
      <c r="E113" s="47" t="n"/>
      <c r="F113" s="46" t="inlineStr">
        <is>
          <t>완료</t>
        </is>
      </c>
      <c r="G113" s="47" t="n"/>
      <c r="H113" s="47" t="inlineStr">
        <is>
          <t>M1완료</t>
        </is>
      </c>
    </row>
    <row r="114" ht="18" customHeight="1">
      <c r="A114" s="46" t="inlineStr">
        <is>
          <t>N-28</t>
        </is>
      </c>
      <c r="B114" s="47" t="inlineStr">
        <is>
          <t>적 중장 강적(녹으로 붙은 갑옷 둘) 몸 · 애니메이션 4 · Unity 재생 (2/12)</t>
        </is>
      </c>
      <c r="C114" s="47" t="inlineStr">
        <is>
          <t>스토리·서사 (Story &amp; Narrative)</t>
        </is>
      </c>
      <c r="D114" s="47" t="inlineStr">
        <is>
          <t>M3-Q3</t>
        </is>
      </c>
      <c r="E114" s="47" t="n"/>
      <c r="F114" s="46" t="inlineStr">
        <is>
          <t>완료</t>
        </is>
      </c>
      <c r="G114" s="47" t="n"/>
      <c r="H114" s="47" t="inlineStr">
        <is>
          <t>M1완료</t>
        </is>
      </c>
    </row>
    <row r="115" ht="18" customHeight="1">
      <c r="A115" s="46" t="inlineStr">
        <is>
          <t>N-29</t>
        </is>
      </c>
      <c r="B115" s="47" t="inlineStr">
        <is>
          <t>적 원거리 사수(하늘을 겨눈 채 굳은 것) 몸 · 애니메이션 4 · Unity 재생 (3/12)</t>
        </is>
      </c>
      <c r="C115" s="47" t="inlineStr">
        <is>
          <t>스토리·서사 (Story &amp; Narrative)</t>
        </is>
      </c>
      <c r="D115" s="47" t="inlineStr">
        <is>
          <t>M3-Q3</t>
        </is>
      </c>
      <c r="E115" s="47" t="n"/>
      <c r="F115" s="46" t="inlineStr">
        <is>
          <t>완료</t>
        </is>
      </c>
      <c r="G115" s="47" t="n"/>
      <c r="H115" s="47" t="inlineStr">
        <is>
          <t>M1완료</t>
        </is>
      </c>
    </row>
    <row r="116" ht="18" customHeight="1">
      <c r="A116" s="46" t="inlineStr">
        <is>
          <t>N-30</t>
        </is>
      </c>
      <c r="B116" s="47" t="inlineStr">
        <is>
          <t>적 발사 위치 그림 기준화 + 원거리 사수 곡사 화살 (Bug-048 · arcExplodes)</t>
        </is>
      </c>
      <c r="C116" s="47" t="inlineStr">
        <is>
          <t>스토리·서사 (Story &amp; Narrative)</t>
        </is>
      </c>
      <c r="D116" s="47" t="inlineStr">
        <is>
          <t>M3-Q3</t>
        </is>
      </c>
      <c r="E116" s="47" t="n"/>
      <c r="F116" s="46" t="inlineStr">
        <is>
          <t>완료</t>
        </is>
      </c>
      <c r="G116" s="47" t="n"/>
      <c r="H116" s="47" t="inlineStr">
        <is>
          <t>M1완료</t>
        </is>
      </c>
    </row>
    <row r="117" ht="18" customHeight="1">
      <c r="A117" s="46" t="inlineStr">
        <is>
          <t>N-31</t>
        </is>
      </c>
      <c r="B117" s="47" t="inlineStr">
        <is>
          <t>적 뼈 궁수(재로 된 사수) 몸 · 애니메이션 4 · Unity 재생 (4/12)</t>
        </is>
      </c>
      <c r="C117" s="47" t="inlineStr">
        <is>
          <t>스토리·서사 (Story &amp; Narrative)</t>
        </is>
      </c>
      <c r="D117" s="47" t="inlineStr">
        <is>
          <t>M3-Q3</t>
        </is>
      </c>
      <c r="E117" s="47" t="n"/>
      <c r="F117" s="46" t="inlineStr">
        <is>
          <t>완료</t>
        </is>
      </c>
      <c r="G117" s="47" t="n"/>
      <c r="H117" s="47" t="inlineStr">
        <is>
          <t>M1완료</t>
        </is>
      </c>
    </row>
    <row r="118" ht="18" customHeight="1">
      <c r="A118" s="46" t="inlineStr">
        <is>
          <t>N-32</t>
        </is>
      </c>
      <c r="B118" s="47" t="inlineStr">
        <is>
          <t>적 공허 술사(선이 하나도 없는 것) 몸 · 애니메이션 4 · Unity 재생 (5/12 · 떠 있는 적 · desaturate)</t>
        </is>
      </c>
      <c r="C118" s="47" t="inlineStr">
        <is>
          <t>스토리·서사 (Story &amp; Narrative)</t>
        </is>
      </c>
      <c r="D118" s="47" t="inlineStr">
        <is>
          <t>M3-Q3</t>
        </is>
      </c>
      <c r="E118" s="47" t="n"/>
      <c r="F118" s="46" t="inlineStr">
        <is>
          <t>완료</t>
        </is>
      </c>
      <c r="G118" s="47" t="n"/>
      <c r="H118" s="47" t="inlineStr">
        <is>
          <t>M1완료</t>
        </is>
      </c>
    </row>
    <row r="119" ht="18" customHeight="1">
      <c r="A119" s="46" t="inlineStr">
        <is>
          <t>N-33</t>
        </is>
      </c>
      <c r="B119" s="47" t="inlineStr">
        <is>
          <t>적 화염 박격포(아직 내려오는 중인 것) 몸 · 애니메이션 4 · Unity 재생 (6/12 · 원거리 4종 완결)</t>
        </is>
      </c>
      <c r="C119" s="47" t="inlineStr">
        <is>
          <t>스토리·서사 (Story &amp; Narrative)</t>
        </is>
      </c>
      <c r="D119" s="47" t="inlineStr">
        <is>
          <t>M3-Q3</t>
        </is>
      </c>
      <c r="E119" s="47" t="n"/>
      <c r="F119" s="46" t="inlineStr">
        <is>
          <t>완료</t>
        </is>
      </c>
      <c r="G119" s="47" t="n"/>
      <c r="H119" s="47" t="inlineStr">
        <is>
          <t>M1완료</t>
        </is>
      </c>
    </row>
    <row r="120" ht="18" customHeight="1">
      <c r="A120" s="46" t="inlineStr">
        <is>
          <t>N-34</t>
        </is>
      </c>
      <c r="B120" s="47" t="inlineStr">
        <is>
          <t>적 엘리트 사냥꾼(흉내를 내다 만 것) 몸 · 애니메이션 4 · Unity 재생 (7/12 · 첫 정예 80px · 캔버스 120)</t>
        </is>
      </c>
      <c r="C120" s="47" t="inlineStr">
        <is>
          <t>스토리·서사 (Story &amp; Narrative)</t>
        </is>
      </c>
      <c r="D120" s="47" t="inlineStr">
        <is>
          <t>M3-Q3</t>
        </is>
      </c>
      <c r="E120" s="47" t="n"/>
      <c r="F120" s="46" t="inlineStr">
        <is>
          <t>대기</t>
        </is>
      </c>
      <c r="G120" s="47" t="n"/>
      <c r="H120" s="47" t="n"/>
    </row>
    <row r="121" ht="18" customHeight="1">
      <c r="A121" s="46" t="inlineStr">
        <is>
          <t>N-35</t>
        </is>
      </c>
      <c r="B121" s="47" t="inlineStr">
        <is>
          <t>적 감시자 거인(제 아래를 갈아 없앤 것) 몸 R4 · 애니메이션 4 · 시트 (8/12 · 첫 중간보스 · 적 칸 148 · 컨셉 교체로 다리 해결 · 사망은 손 조립)</t>
        </is>
      </c>
      <c r="C121" s="47" t="inlineStr">
        <is>
          <t>스토리·서사 (Story &amp; Narrative)</t>
        </is>
      </c>
      <c r="D121" s="47" t="inlineStr">
        <is>
          <t>M3-Q3</t>
        </is>
      </c>
      <c r="E121" s="47" t="n"/>
      <c r="F121" s="46" t="inlineStr">
        <is>
          <t>완료</t>
        </is>
      </c>
      <c r="G121" s="47" t="n"/>
      <c r="H121" s="47" t="inlineStr">
        <is>
          <t>M1완료</t>
        </is>
      </c>
    </row>
    <row r="122" ht="18" customHeight="1">
      <c r="A122" s="46" t="inlineStr">
        <is>
          <t>N-36</t>
        </is>
      </c>
      <c r="B122" s="47" t="inlineStr">
        <is>
          <t>적 12종 픽셀아트 재제작</t>
        </is>
      </c>
      <c r="C122" s="47" t="inlineStr">
        <is>
          <t>스토리·서사 (Story &amp; Narrative)</t>
        </is>
      </c>
      <c r="D122" s="47" t="inlineStr">
        <is>
          <t>M3-Q3~M3-Q4</t>
        </is>
      </c>
      <c r="E122" s="47" t="n"/>
      <c r="F122" s="46" t="inlineStr">
        <is>
          <t>완료</t>
        </is>
      </c>
      <c r="G122" s="47" t="n"/>
      <c r="H122" s="47" t="inlineStr">
        <is>
          <t>M1완료</t>
        </is>
      </c>
    </row>
    <row r="123" ht="18" customHeight="1">
      <c r="A123" s="46" t="inlineStr">
        <is>
          <t>N-37</t>
        </is>
      </c>
      <c r="B123" s="47" t="inlineStr">
        <is>
          <t>플레이어 프리팹 기하 정규화 (물리/시각 분리)</t>
        </is>
      </c>
      <c r="C123" s="47" t="inlineStr">
        <is>
          <t>스토리·서사 (Story &amp; Narrative)</t>
        </is>
      </c>
      <c r="D123" s="47" t="inlineStr">
        <is>
          <t>M2-Q2</t>
        </is>
      </c>
      <c r="E123" s="47" t="n"/>
      <c r="F123" s="46" t="inlineStr">
        <is>
          <t>완료</t>
        </is>
      </c>
      <c r="G123" s="47" t="n"/>
      <c r="H123" s="47" t="inlineStr">
        <is>
          <t>M1완료</t>
        </is>
      </c>
    </row>
    <row r="124" ht="18" customHeight="1">
      <c r="A124" s="46" t="inlineStr">
        <is>
          <t>N-38</t>
        </is>
      </c>
      <c r="B124" s="47" t="inlineStr">
        <is>
          <t>아트 생성기 전환 (웹 image_gen -&gt; NovelAI -&gt; PixelLab Pro v2)</t>
        </is>
      </c>
      <c r="C124" s="47" t="inlineStr">
        <is>
          <t>스토리·서사 (Story &amp; Narrative)</t>
        </is>
      </c>
      <c r="D124" s="47" t="inlineStr">
        <is>
          <t>M2-Q2</t>
        </is>
      </c>
      <c r="E124" s="47" t="n"/>
      <c r="F124" s="46" t="inlineStr">
        <is>
          <t>완료</t>
        </is>
      </c>
      <c r="G124" s="47" t="n"/>
      <c r="H124" s="47" t="inlineStr">
        <is>
          <t>M1완료</t>
        </is>
      </c>
    </row>
    <row r="125" ht="18" customHeight="1">
      <c r="A125" s="46" t="inlineStr">
        <is>
          <t>N-39</t>
        </is>
      </c>
      <c r="B125" s="47" t="inlineStr">
        <is>
          <t>애니메이션 방침 확정 (리깅 폐기 -&gt; 프레임 6~8장)</t>
        </is>
      </c>
      <c r="C125" s="47" t="inlineStr">
        <is>
          <t>스토리·서사 (Story &amp; Narrative)</t>
        </is>
      </c>
      <c r="D125" s="47" t="inlineStr">
        <is>
          <t>M2-Q2</t>
        </is>
      </c>
      <c r="E125" s="47" t="n"/>
      <c r="F125" s="46" t="inlineStr">
        <is>
          <t>완료</t>
        </is>
      </c>
      <c r="G125" s="47" t="n"/>
      <c r="H125" s="47" t="inlineStr">
        <is>
          <t>M1완료</t>
        </is>
      </c>
    </row>
    <row r="126" ht="18" customHeight="1">
      <c r="A126" s="46" t="inlineStr">
        <is>
          <t>N-40</t>
        </is>
      </c>
      <c r="B126" s="47" t="inlineStr">
        <is>
          <t>NovelAI 프롬프트 체계 (dark_blade 9상태 45프레임)</t>
        </is>
      </c>
      <c r="C126" s="47" t="inlineStr">
        <is>
          <t>스토리·서사 (Story &amp; Narrative)</t>
        </is>
      </c>
      <c r="D126" s="47" t="inlineStr">
        <is>
          <t>M2-Q2</t>
        </is>
      </c>
      <c r="E126" s="47" t="n"/>
      <c r="F126" s="46" t="inlineStr">
        <is>
          <t>완료</t>
        </is>
      </c>
      <c r="G126" s="47" t="n"/>
      <c r="H126" s="47" t="inlineStr">
        <is>
          <t>M1완료</t>
        </is>
      </c>
    </row>
    <row r="127" ht="18" customHeight="1">
      <c r="A127" s="46" t="inlineStr">
        <is>
          <t>N-41</t>
        </is>
      </c>
      <c r="B127" s="47" t="inlineStr">
        <is>
          <t>아트 프롬프트 체계 재작성 (소설 SoT + 내구도 6층)</t>
        </is>
      </c>
      <c r="C127" s="47" t="inlineStr">
        <is>
          <t>스토리·서사 (Story &amp; Narrative)</t>
        </is>
      </c>
      <c r="D127" s="47" t="inlineStr">
        <is>
          <t>M2-Q2</t>
        </is>
      </c>
      <c r="E127" s="47" t="n"/>
      <c r="F127" s="46" t="inlineStr">
        <is>
          <t>대기</t>
        </is>
      </c>
      <c r="G127" s="47" t="n"/>
      <c r="H127" s="47" t="n"/>
    </row>
    <row r="128" ht="18" customHeight="1">
      <c r="A128" s="46" t="inlineStr">
        <is>
          <t>N-42</t>
        </is>
      </c>
      <c r="B128" s="47" t="inlineStr">
        <is>
          <t>팔레트 집행 후처리 이관 + PixelLab Pro(v2) 전환</t>
        </is>
      </c>
      <c r="C128" s="47" t="inlineStr">
        <is>
          <t>스토리·서사 (Story &amp; Narrative)</t>
        </is>
      </c>
      <c r="D128" s="47" t="inlineStr">
        <is>
          <t>M2-Q2</t>
        </is>
      </c>
      <c r="E128" s="47" t="n"/>
      <c r="F128" s="46" t="inlineStr">
        <is>
          <t>완료</t>
        </is>
      </c>
      <c r="G128" s="47" t="n"/>
      <c r="H128" s="47" t="inlineStr">
        <is>
          <t>M1완료</t>
        </is>
      </c>
    </row>
    <row r="129" ht="18" customHeight="1">
      <c r="A129" s="46" t="inlineStr">
        <is>
          <t>N-43</t>
        </is>
      </c>
      <c r="B129" s="47" t="inlineStr">
        <is>
          <t>환경 8씬 아트 제작 (stage1 완료 1/8 · 앵커+파생 27장)</t>
        </is>
      </c>
      <c r="C129" s="47" t="inlineStr">
        <is>
          <t>스토리·서사 (Story &amp; Narrative)</t>
        </is>
      </c>
      <c r="D129" s="47" t="inlineStr">
        <is>
          <t>M2-Q2~M3-Q3</t>
        </is>
      </c>
      <c r="E129" s="47" t="n"/>
      <c r="F129" s="46" t="inlineStr">
        <is>
          <t>완료</t>
        </is>
      </c>
      <c r="G129" s="47" t="n"/>
      <c r="H129" s="47" t="inlineStr">
        <is>
          <t>M1완료</t>
        </is>
      </c>
    </row>
    <row r="130" ht="18" customHeight="1">
      <c r="A130" s="46" t="inlineStr">
        <is>
          <t>N-44</t>
        </is>
      </c>
      <c r="B130" s="47" t="inlineStr">
        <is>
          <t>Stage1 환경 Run 적용 (일반/보스 방 배경 구분 · 발판 스킨 17 · 콜라이더 변경 0 · wave2)</t>
        </is>
      </c>
      <c r="C130" s="47" t="inlineStr">
        <is>
          <t>스토리·서사 (Story &amp; Narrative)</t>
        </is>
      </c>
      <c r="D130" s="47" t="inlineStr">
        <is>
          <t>M3-Q3</t>
        </is>
      </c>
      <c r="E130" s="47" t="n"/>
      <c r="F130" s="46" t="inlineStr">
        <is>
          <t>완료</t>
        </is>
      </c>
      <c r="G130" s="47" t="n"/>
      <c r="H130" s="47" t="inlineStr">
        <is>
          <t>M1완료</t>
        </is>
      </c>
    </row>
    <row r="131" ht="18" customHeight="1">
      <c r="A131" s="46" t="inlineStr">
        <is>
          <t>N-45</t>
        </is>
      </c>
      <c r="B131" s="47" t="inlineStr">
        <is>
          <t>흰 거터 자동 크롭 + 팔레트 집행 픽스처 41건</t>
        </is>
      </c>
      <c r="C131" s="47" t="inlineStr">
        <is>
          <t>스토리·서사 (Story &amp; Narrative)</t>
        </is>
      </c>
      <c r="D131" s="47" t="inlineStr">
        <is>
          <t>M2-Q2</t>
        </is>
      </c>
      <c r="E131" s="47" t="n"/>
      <c r="F131" s="46" t="inlineStr">
        <is>
          <t>완료</t>
        </is>
      </c>
      <c r="G131" s="47" t="n"/>
      <c r="H131" s="47" t="inlineStr">
        <is>
          <t>M1완료</t>
        </is>
      </c>
    </row>
    <row r="132" ht="18" customHeight="1">
      <c r="A132" s="46" t="inlineStr">
        <is>
          <t>N-46</t>
        </is>
      </c>
      <c r="B132" s="47" t="inlineStr">
        <is>
          <t>환경 아트 임포트 규약 + ParallaxLayer + 아트 테스트 스테이지</t>
        </is>
      </c>
      <c r="C132" s="47" t="inlineStr">
        <is>
          <t>스토리·서사 (Story &amp; Narrative)</t>
        </is>
      </c>
      <c r="D132" s="47" t="inlineStr">
        <is>
          <t>M2-Q2</t>
        </is>
      </c>
      <c r="E132" s="47" t="n"/>
      <c r="F132" s="46" t="inlineStr">
        <is>
          <t>완료</t>
        </is>
      </c>
      <c r="G132" s="47" t="n"/>
      <c r="H132" s="47" t="inlineStr">
        <is>
          <t>M1완료</t>
        </is>
      </c>
    </row>
    <row r="133" ht="18" customHeight="1">
      <c r="A133" s="46" t="inlineStr">
        <is>
          <t>N-47</t>
        </is>
      </c>
      <c r="B133" s="47" t="inlineStr">
        <is>
          <t>FHD 정수배율 확정 + 벽/지면 타일셋 재생성(위3단 0%)</t>
        </is>
      </c>
      <c r="C133" s="47" t="inlineStr">
        <is>
          <t>스토리·서사 (Story &amp; Narrative)</t>
        </is>
      </c>
      <c r="D133" s="47" t="inlineStr">
        <is>
          <t>M2-Q2</t>
        </is>
      </c>
      <c r="E133" s="47" t="n"/>
      <c r="F133" s="46" t="inlineStr">
        <is>
          <t>완료</t>
        </is>
      </c>
      <c r="G133" s="47" t="n"/>
      <c r="H133" s="47" t="inlineStr">
        <is>
          <t>M1완료</t>
        </is>
      </c>
    </row>
    <row r="134" ht="18" customHeight="1">
      <c r="A134" s="46" t="inlineStr">
        <is>
          <t>N-48</t>
        </is>
      </c>
      <c r="B134" s="47" t="inlineStr">
        <is>
          <t>게임 씬 화면 배율 정수화 (PixelScale SoT · Run/Lobby/Title ortho 5.625)</t>
        </is>
      </c>
      <c r="C134" s="47" t="inlineStr">
        <is>
          <t>스토리·서사 (Story &amp; Narrative)</t>
        </is>
      </c>
      <c r="D134" s="47" t="inlineStr">
        <is>
          <t>M2-Q2</t>
        </is>
      </c>
      <c r="E134" s="47" t="n"/>
      <c r="F134" s="46" t="inlineStr">
        <is>
          <t>완료</t>
        </is>
      </c>
      <c r="G134" s="47" t="n"/>
      <c r="H134" s="47" t="inlineStr">
        <is>
          <t>M1완료</t>
        </is>
      </c>
    </row>
    <row r="135" ht="18" customHeight="1">
      <c r="A135" s="46" t="inlineStr">
        <is>
          <t>N-49</t>
        </is>
      </c>
      <c r="B135" s="47" t="inlineStr">
        <is>
          <t>애니메이션 상태 SoT + 폴백 사슬 (PlayerAnimationIds)</t>
        </is>
      </c>
      <c r="C135" s="47" t="inlineStr">
        <is>
          <t>스토리·서사 (Story &amp; Narrative)</t>
        </is>
      </c>
      <c r="D135" s="47" t="inlineStr">
        <is>
          <t>M2-Q2</t>
        </is>
      </c>
      <c r="E135" s="47" t="n"/>
      <c r="F135" s="46" t="inlineStr">
        <is>
          <t>완료</t>
        </is>
      </c>
      <c r="G135" s="47" t="n"/>
      <c r="H135" s="47" t="inlineStr">
        <is>
          <t>M1완료</t>
        </is>
      </c>
    </row>
    <row r="136" ht="18" customHeight="1">
      <c r="A136" s="46" t="inlineStr">
        <is>
          <t>N-50</t>
        </is>
      </c>
      <c r="B136" s="47" t="inlineStr">
        <is>
          <t>애니메이션 재생 층 (Anim_Core · 평평한 Animator · 폼 오버라이드)</t>
        </is>
      </c>
      <c r="C136" s="47" t="inlineStr">
        <is>
          <t>스토리·서사 (Story &amp; Narrative)</t>
        </is>
      </c>
      <c r="D136" s="47" t="inlineStr">
        <is>
          <t>M2-Q2</t>
        </is>
      </c>
      <c r="E136" s="47" t="n"/>
      <c r="F136" s="46" t="inlineStr">
        <is>
          <t>완료</t>
        </is>
      </c>
      <c r="G136" s="47" t="n"/>
      <c r="H136" s="47" t="inlineStr">
        <is>
          <t>M1완료</t>
        </is>
      </c>
    </row>
    <row r="137" ht="18" customHeight="1">
      <c r="A137" s="46" t="inlineStr">
        <is>
          <t>N-51</t>
        </is>
      </c>
      <c r="B137" s="47" t="inlineStr">
        <is>
          <t>클립·컨트롤러 생성 메뉴 (시트 -&gt; 클립/오버라이드)</t>
        </is>
      </c>
      <c r="C137" s="47" t="inlineStr">
        <is>
          <t>스토리·서사 (Story &amp; Narrative)</t>
        </is>
      </c>
      <c r="D137" s="47" t="inlineStr">
        <is>
          <t>M2-Q2</t>
        </is>
      </c>
      <c r="E137" s="47" t="n"/>
      <c r="F137" s="46" t="inlineStr">
        <is>
          <t>완료</t>
        </is>
      </c>
      <c r="G137" s="47" t="n"/>
      <c r="H137" s="47" t="inlineStr">
        <is>
          <t>M1완료</t>
        </is>
      </c>
    </row>
    <row r="138" ht="18" customHeight="1">
      <c r="A138" s="46" t="inlineStr">
        <is>
          <t>N-52</t>
        </is>
      </c>
      <c r="B138" s="47" t="inlineStr">
        <is>
          <t>KnightRed 4상태 클립 (Idle/Run/공격 2종)</t>
        </is>
      </c>
      <c r="C138" s="47" t="inlineStr">
        <is>
          <t>스토리·서사 (Story &amp; Narrative)</t>
        </is>
      </c>
      <c r="D138" s="47" t="inlineStr">
        <is>
          <t>M2-Q2</t>
        </is>
      </c>
      <c r="E138" s="47" t="n"/>
      <c r="F138" s="46" t="inlineStr">
        <is>
          <t>완료</t>
        </is>
      </c>
      <c r="G138" s="47" t="n"/>
      <c r="H138" s="47" t="inlineStr">
        <is>
          <t>M1완료</t>
        </is>
      </c>
    </row>
    <row r="139" ht="18" customHeight="1">
      <c r="A139" s="46" t="inlineStr">
        <is>
          <t>N-53</t>
        </is>
      </c>
      <c r="B139" s="47" t="inlineStr">
        <is>
          <t>캐릭터 시트 칸 단위 재슬라이스 (Bug-039 · PPU32·발밑 피벗 확정)</t>
        </is>
      </c>
      <c r="C139" s="47" t="inlineStr">
        <is>
          <t>스토리·서사 (Story &amp; Narrative)</t>
        </is>
      </c>
      <c r="D139" s="47" t="inlineStr">
        <is>
          <t>M2-Q2</t>
        </is>
      </c>
      <c r="E139" s="47" t="n"/>
      <c r="F139" s="46" t="inlineStr">
        <is>
          <t>완료</t>
        </is>
      </c>
      <c r="G139" s="47" t="n"/>
      <c r="H139" s="47" t="inlineStr">
        <is>
          <t>M1완료</t>
        </is>
      </c>
    </row>
    <row r="140" ht="18" customHeight="1">
      <c r="A140" s="46" t="inlineStr">
        <is>
          <t>N-54</t>
        </is>
      </c>
      <c r="B140" s="47" t="inlineStr">
        <is>
          <t>KnightRed 9상태 클립 완성 (Hit·Jump·Fall·Dash·Dead · No Weapon 몸)</t>
        </is>
      </c>
      <c r="C140" s="47" t="inlineStr">
        <is>
          <t>스토리·서사 (Story &amp; Narrative)</t>
        </is>
      </c>
      <c r="D140" s="47" t="inlineStr">
        <is>
          <t>M2-Q2</t>
        </is>
      </c>
      <c r="E140" s="47" t="n"/>
      <c r="F140" s="46" t="inlineStr">
        <is>
          <t>완료</t>
        </is>
      </c>
      <c r="G140" s="47" t="n"/>
      <c r="H140" s="47" t="inlineStr">
        <is>
          <t>M1완료</t>
        </is>
      </c>
    </row>
    <row r="141" ht="18" customHeight="1">
      <c r="A141" s="46" t="inlineStr">
        <is>
          <t>N-55</t>
        </is>
      </c>
      <c r="B141" s="47" t="inlineStr">
        <is>
          <t>플레이어 FSM 결손 2건 (Hit 지속시간 Bug-040 · Dash 탈출 Bug-041)</t>
        </is>
      </c>
      <c r="C141" s="47" t="inlineStr">
        <is>
          <t>스토리·서사 (Story &amp; Narrative)</t>
        </is>
      </c>
      <c r="D141" s="47" t="inlineStr">
        <is>
          <t>M2-Q2</t>
        </is>
      </c>
      <c r="E141" s="47" t="n"/>
      <c r="F141" s="46" t="inlineStr">
        <is>
          <t>완료</t>
        </is>
      </c>
      <c r="G141" s="47" t="n"/>
      <c r="H141" s="47" t="inlineStr">
        <is>
          <t>M1완료</t>
        </is>
      </c>
    </row>
    <row r="142" ht="18" customHeight="1">
      <c r="A142" s="46" t="inlineStr">
        <is>
          <t>N-56</t>
        </is>
      </c>
      <c r="B142" s="47" t="inlineStr">
        <is>
          <t>KnightRed 기존 4클립 No Weapon 재생성 (무기 분리 정합 · 9상태 몸 통일)</t>
        </is>
      </c>
      <c r="C142" s="47" t="inlineStr">
        <is>
          <t>스토리·서사 (Story &amp; Narrative)</t>
        </is>
      </c>
      <c r="D142" s="47" t="inlineStr">
        <is>
          <t>M2-Q2</t>
        </is>
      </c>
      <c r="E142" s="47" t="n"/>
      <c r="F142" s="46" t="inlineStr">
        <is>
          <t>완료</t>
        </is>
      </c>
      <c r="G142" s="47" t="n"/>
      <c r="H142" s="47" t="inlineStr">
        <is>
          <t>M1완료</t>
        </is>
      </c>
    </row>
    <row r="143" ht="18" customHeight="1">
      <c r="A143" s="46" t="inlineStr">
        <is>
          <t>N-57</t>
        </is>
      </c>
      <c r="B143" s="47" t="inlineStr">
        <is>
          <t>무기 장비 시스템 기획 (런 스코프·폼 전용·7등급·중복=강화·3창구)</t>
        </is>
      </c>
      <c r="C143" s="47" t="inlineStr">
        <is>
          <t>스토리·서사 (Story &amp; Narrative)</t>
        </is>
      </c>
      <c r="D143" s="47" t="inlineStr">
        <is>
          <t>M2-Q2</t>
        </is>
      </c>
      <c r="E143" s="47" t="n"/>
      <c r="F143" s="46" t="inlineStr">
        <is>
          <t>완료</t>
        </is>
      </c>
      <c r="G143" s="47" t="n"/>
      <c r="H143" s="47" t="inlineStr">
        <is>
          <t>M1완료</t>
        </is>
      </c>
    </row>
    <row r="144" ht="18" customHeight="1">
      <c r="A144" s="46" t="inlineStr">
        <is>
          <t>N-58</t>
        </is>
      </c>
      <c r="B144" s="47" t="inlineStr">
        <is>
          <t>손 앵커 + 자루 기준점 규약 (돌출부 검출 gen 0 · blade/center)</t>
        </is>
      </c>
      <c r="C144" s="47" t="inlineStr">
        <is>
          <t>스토리·서사 (Story &amp; Narrative)</t>
        </is>
      </c>
      <c r="D144" s="47" t="inlineStr">
        <is>
          <t>M2-Q2</t>
        </is>
      </c>
      <c r="E144" s="47" t="n"/>
      <c r="F144" s="46" t="inlineStr">
        <is>
          <t>완료</t>
        </is>
      </c>
      <c r="G144" s="47" t="n"/>
      <c r="H144" s="47" t="inlineStr">
        <is>
          <t>M1완료</t>
        </is>
      </c>
    </row>
    <row r="145" ht="18" customHeight="1">
      <c r="A145" s="46" t="inlineStr">
        <is>
          <t>N-59</t>
        </is>
      </c>
      <c r="B145" s="47" t="inlineStr">
        <is>
          <t>무기 소켓 + 앵커 SO·임포터 (프레임별 배치 · 각도는 값으로)</t>
        </is>
      </c>
      <c r="C145" s="47" t="inlineStr">
        <is>
          <t>스토리·서사 (Story &amp; Narrative)</t>
        </is>
      </c>
      <c r="D145" s="47" t="inlineStr">
        <is>
          <t>M2-Q2</t>
        </is>
      </c>
      <c r="E145" s="47" t="n"/>
      <c r="F145" s="46" t="inlineStr">
        <is>
          <t>완료</t>
        </is>
      </c>
      <c r="G145" s="47" t="n"/>
      <c r="H145" s="47" t="inlineStr">
        <is>
          <t>M1완료</t>
        </is>
      </c>
    </row>
    <row r="146" ht="18" customHeight="1">
      <c r="A146" s="46" t="inlineStr">
        <is>
          <t>N-60</t>
        </is>
      </c>
      <c r="B146" s="47" t="inlineStr">
        <is>
          <t>공격 이펙트 크기를 판정 박스에서 파생 (Bug-042 · 헤비가 사거리 부풀림)</t>
        </is>
      </c>
      <c r="C146" s="47" t="inlineStr">
        <is>
          <t>스토리·서사 (Story &amp; Narrative)</t>
        </is>
      </c>
      <c r="D146" s="47" t="inlineStr">
        <is>
          <t>M2-Q2</t>
        </is>
      </c>
      <c r="E146" s="47" t="n"/>
      <c r="F146" s="46" t="inlineStr">
        <is>
          <t>완료</t>
        </is>
      </c>
      <c r="G146" s="47" t="n"/>
      <c r="H146" s="47" t="inlineStr">
        <is>
          <t>M1완료</t>
        </is>
      </c>
    </row>
    <row r="147" ht="18" customHeight="1">
      <c r="A147" s="46" t="inlineStr">
        <is>
          <t>N-61</t>
        </is>
      </c>
      <c r="B147" s="47" t="inlineStr">
        <is>
          <t>캐릭터 방향 east -&gt; south-east 전환 (9상태 재생성 · 손 앵커 키 48%-&gt;80%)</t>
        </is>
      </c>
      <c r="C147" s="47" t="inlineStr">
        <is>
          <t>스토리·서사 (Story &amp; Narrative)</t>
        </is>
      </c>
      <c r="D147" s="47" t="inlineStr">
        <is>
          <t>M2-Q2</t>
        </is>
      </c>
      <c r="E147" s="47" t="n"/>
      <c r="F147" s="46" t="inlineStr">
        <is>
          <t>완료</t>
        </is>
      </c>
      <c r="G147" s="47" t="n"/>
      <c r="H147" s="47" t="inlineStr">
        <is>
          <t>M1완료</t>
        </is>
      </c>
    </row>
    <row r="148" ht="18" customHeight="1">
      <c r="A148" s="46" t="inlineStr">
        <is>
          <t>N-62</t>
        </is>
      </c>
      <c r="B148" s="47" t="inlineStr">
        <is>
          <t>무기 각도 사전 회전 24각도 (RotSprite 계열 · gen 0 · 피벗 공유)</t>
        </is>
      </c>
      <c r="C148" s="47" t="inlineStr">
        <is>
          <t>스토리·서사 (Story &amp; Narrative)</t>
        </is>
      </c>
      <c r="D148" s="47" t="inlineStr">
        <is>
          <t>M2-Q2</t>
        </is>
      </c>
      <c r="E148" s="47" t="n"/>
      <c r="F148" s="46" t="inlineStr">
        <is>
          <t>완료</t>
        </is>
      </c>
      <c r="G148" s="47" t="n"/>
      <c r="H148" s="47" t="inlineStr">
        <is>
          <t>M1완료</t>
        </is>
      </c>
    </row>
    <row r="149" ht="18" customHeight="1">
      <c r="A149" s="46" t="inlineStr">
        <is>
          <t>N-63</t>
        </is>
      </c>
      <c r="B149" s="47" t="inlineStr">
        <is>
          <t>무기 4종 각도 스트립 + 방패 bracedUpright (칸 70/44/40/50px · gen 0)</t>
        </is>
      </c>
      <c r="C149" s="47" t="inlineStr">
        <is>
          <t>스토리·서사 (Story &amp; Narrative)</t>
        </is>
      </c>
      <c r="D149" s="47" t="inlineStr">
        <is>
          <t>M2-Q2</t>
        </is>
      </c>
      <c r="E149" s="47" t="n"/>
      <c r="F149" s="46" t="inlineStr">
        <is>
          <t>완료</t>
        </is>
      </c>
      <c r="G149" s="47" t="n"/>
      <c r="H149" s="47" t="inlineStr">
        <is>
          <t>M1완료</t>
        </is>
      </c>
    </row>
    <row r="150" ht="18" customHeight="1">
      <c r="A150" s="46" t="inlineStr">
        <is>
          <t>N-64</t>
        </is>
      </c>
      <c r="B150" s="47" t="inlineStr">
        <is>
          <t>무기 장비 시스템 기반 (WeaponData·카탈로그·등급 정규화 추첨·폼별 기본 무기)</t>
        </is>
      </c>
      <c r="C150" s="47" t="inlineStr">
        <is>
          <t>스토리·서사 (Story &amp; Narrative)</t>
        </is>
      </c>
      <c r="D150" s="47" t="inlineStr">
        <is>
          <t>M2-Q2</t>
        </is>
      </c>
      <c r="E150" s="47" t="n"/>
      <c r="F150" s="46" t="inlineStr">
        <is>
          <t>완료</t>
        </is>
      </c>
      <c r="G150" s="47" t="n"/>
      <c r="H150" s="47" t="inlineStr">
        <is>
          <t>M1완료</t>
        </is>
      </c>
    </row>
    <row r="151" ht="18" customHeight="1">
      <c r="A151" s="46" t="inlineStr">
        <is>
          <t>N-65</t>
        </is>
      </c>
      <c r="B151" s="47" t="inlineStr">
        <is>
          <t>무기 보유 상태 (런 스코프·폼마다 기억·중복=강화 · 배율 잠복 해소)</t>
        </is>
      </c>
      <c r="C151" s="47" t="inlineStr">
        <is>
          <t>스토리·서사 (Story &amp; Narrative)</t>
        </is>
      </c>
      <c r="D151" s="47" t="inlineStr">
        <is>
          <t>M2-Q2</t>
        </is>
      </c>
      <c r="E151" s="47" t="n"/>
      <c r="F151" s="46" t="inlineStr">
        <is>
          <t>완료</t>
        </is>
      </c>
      <c r="G151" s="47" t="n"/>
      <c r="H151" s="47" t="inlineStr">
        <is>
          <t>M1완료</t>
        </is>
      </c>
    </row>
    <row r="152" ht="18" customHeight="1">
      <c r="A152" s="46" t="inlineStr">
        <is>
          <t>N-66</t>
        </is>
      </c>
      <c r="B152" s="47" t="inlineStr">
        <is>
          <t>무기 획득 3창구 (보스 제단·상점 좌판·이벤트 가차 · EventEffect 무개조)</t>
        </is>
      </c>
      <c r="C152" s="47" t="inlineStr">
        <is>
          <t>스토리·서사 (Story &amp; Narrative)</t>
        </is>
      </c>
      <c r="D152" s="47" t="inlineStr">
        <is>
          <t>M2-Q2</t>
        </is>
      </c>
      <c r="E152" s="47" t="n"/>
      <c r="F152" s="46" t="inlineStr">
        <is>
          <t>완료</t>
        </is>
      </c>
      <c r="G152" s="47" t="n"/>
      <c r="H152" s="47" t="inlineStr">
        <is>
          <t>M1완료</t>
        </is>
      </c>
    </row>
    <row r="153" ht="18" customHeight="1">
      <c r="A153" s="46" t="inlineStr">
        <is>
          <t>N-67</t>
        </is>
      </c>
      <c r="B153" s="47" t="inlineStr">
        <is>
          <t>무기 제단 전용 도트 (돌에 꽂힌 검 · Pillow gen 0 · 폼 제단과 실루엣 분리)</t>
        </is>
      </c>
      <c r="C153" s="47" t="inlineStr">
        <is>
          <t>스토리·서사 (Story &amp; Narrative)</t>
        </is>
      </c>
      <c r="D153" s="47" t="inlineStr">
        <is>
          <t>M2-Q2</t>
        </is>
      </c>
      <c r="E153" s="47" t="n"/>
      <c r="F153" s="46" t="inlineStr">
        <is>
          <t>대기</t>
        </is>
      </c>
      <c r="G153" s="47" t="n"/>
      <c r="H153" s="47" t="n"/>
    </row>
    <row r="154" ht="18" customHeight="1">
      <c r="A154" s="46" t="inlineStr">
        <is>
          <t>N-68</t>
        </is>
      </c>
      <c r="B154" s="47" t="inlineStr">
        <is>
          <t>무기 첫 보상 빈손 수정 (Bug-043 · 시작 무기도 보유 · Adopt)</t>
        </is>
      </c>
      <c r="C154" s="47" t="inlineStr">
        <is>
          <t>스토리·서사 (Story &amp; Narrative)</t>
        </is>
      </c>
      <c r="D154" s="47" t="inlineStr">
        <is>
          <t>M2-Q2</t>
        </is>
      </c>
      <c r="E154" s="47" t="n"/>
      <c r="F154" s="46" t="inlineStr">
        <is>
          <t>대기</t>
        </is>
      </c>
      <c r="G154" s="47" t="n"/>
      <c r="H154" s="47" t="n"/>
    </row>
    <row r="155" ht="18" customHeight="1">
      <c r="A155" s="46" t="inlineStr">
        <is>
          <t>N-69</t>
        </is>
      </c>
      <c r="B155" s="47" t="inlineStr">
        <is>
          <t>무기 가격 밸런스 (골드 곡선 측정 완료 · 수치는 희귀 이상 무기 도입 시)</t>
        </is>
      </c>
      <c r="C155" s="47" t="inlineStr">
        <is>
          <t>스토리·서사 (Story &amp; Narrative)</t>
        </is>
      </c>
      <c r="D155" s="47" t="inlineStr">
        <is>
          <t>M2-Q2~M3-Q3</t>
        </is>
      </c>
      <c r="E155" s="47" t="n"/>
      <c r="F155" s="46" t="inlineStr">
        <is>
          <t>대기</t>
        </is>
      </c>
      <c r="G155" s="47" t="n"/>
      <c r="H155" s="47" t="n"/>
    </row>
    <row r="156" ht="18" customHeight="1">
      <c r="A156" s="46" t="inlineStr">
        <is>
          <t>N-70</t>
        </is>
      </c>
      <c r="B156" s="47" t="inlineStr">
        <is>
          <t>무기 각도별 프레임 제작 (단축이 필요해지면)</t>
        </is>
      </c>
      <c r="C156" s="47" t="inlineStr">
        <is>
          <t>스토리·서사 (Story &amp; Narrative)</t>
        </is>
      </c>
      <c r="D156" s="47" t="inlineStr">
        <is>
          <t>M3-Q3</t>
        </is>
      </c>
      <c r="E156" s="47" t="n"/>
      <c r="F156" s="46" t="inlineStr">
        <is>
          <t>완료</t>
        </is>
      </c>
      <c r="G156" s="47" t="n"/>
      <c r="H156" s="47" t="inlineStr">
        <is>
          <t>M1완료</t>
        </is>
      </c>
    </row>
    <row r="157" ht="18" customHeight="1">
      <c r="A157" s="46" t="inlineStr">
        <is>
          <t>N-71</t>
        </is>
      </c>
      <c r="B157" s="47" t="inlineStr">
        <is>
          <t>점프 정점·착지 전환 + 대시 잔상 이펙트</t>
        </is>
      </c>
      <c r="C157" s="47" t="inlineStr">
        <is>
          <t>스토리·서사 (Story &amp; Narrative)</t>
        </is>
      </c>
      <c r="D157" s="47" t="inlineStr">
        <is>
          <t>M3-Q3</t>
        </is>
      </c>
      <c r="E157" s="47" t="n"/>
      <c r="F157" s="46" t="inlineStr">
        <is>
          <t>완료</t>
        </is>
      </c>
      <c r="G157" s="47" t="n"/>
      <c r="H157" s="47" t="inlineStr">
        <is>
          <t>M1완료</t>
        </is>
      </c>
    </row>
    <row r="158" ht="18" customHeight="1">
      <c r="A158" s="46" t="inlineStr">
        <is>
          <t>N-72</t>
        </is>
      </c>
      <c r="B158" s="47" t="inlineStr">
        <is>
          <t>Bug-036 상호작용 씬 오버라이드 소실 수정</t>
        </is>
      </c>
      <c r="C158" s="47" t="inlineStr">
        <is>
          <t>스토리·서사 (Story &amp; Narrative)</t>
        </is>
      </c>
      <c r="D158" s="47" t="inlineStr">
        <is>
          <t>M2-Q2</t>
        </is>
      </c>
      <c r="E158" s="47" t="n"/>
      <c r="F158" s="46" t="inlineStr">
        <is>
          <t>완료</t>
        </is>
      </c>
      <c r="G158" s="47" t="n"/>
      <c r="H158" s="47" t="inlineStr">
        <is>
          <t>M1완료</t>
        </is>
      </c>
    </row>
    <row r="159" ht="18" customHeight="1">
      <c r="A159" s="46" t="inlineStr">
        <is>
          <t>N-73</t>
        </is>
      </c>
      <c r="B159" s="47" t="inlineStr">
        <is>
          <t>draft_offered 계측 + 분석기 (제시 vs 획득)</t>
        </is>
      </c>
      <c r="C159" s="47" t="inlineStr">
        <is>
          <t>스토리·서사 (Story &amp; Narrative)</t>
        </is>
      </c>
      <c r="D159" s="47" t="inlineStr">
        <is>
          <t>M2-Q2</t>
        </is>
      </c>
      <c r="E159" s="47" t="n"/>
      <c r="F159" s="46" t="inlineStr">
        <is>
          <t>완료</t>
        </is>
      </c>
      <c r="G159" s="47" t="n"/>
      <c r="H159" s="47" t="inlineStr">
        <is>
          <t>M1완료</t>
        </is>
      </c>
    </row>
    <row r="160" ht="18" customHeight="1">
      <c r="A160" s="46" t="inlineStr">
        <is>
          <t>N-74</t>
        </is>
      </c>
      <c r="B160" s="47" t="inlineStr">
        <is>
          <t>Run 씬 오버라이드 정리 + promptLabel 재배선</t>
        </is>
      </c>
      <c r="C160" s="47" t="inlineStr">
        <is>
          <t>스토리·서사 (Story &amp; Narrative)</t>
        </is>
      </c>
      <c r="D160" s="47" t="inlineStr">
        <is>
          <t>M2-Q2</t>
        </is>
      </c>
      <c r="E160" s="47" t="n"/>
      <c r="F160" s="46" t="inlineStr">
        <is>
          <t>완료</t>
        </is>
      </c>
      <c r="G160" s="47" t="n"/>
      <c r="H160" s="47" t="inlineStr">
        <is>
          <t>M1완료</t>
        </is>
      </c>
    </row>
    <row r="161" ht="18" customHeight="1">
      <c r="A161" s="46" t="inlineStr">
        <is>
          <t>N-75</t>
        </is>
      </c>
      <c r="B161" s="47" t="inlineStr">
        <is>
          <t>시작 특전 에셋 실현 (시작 골드 + 무료 리롤)</t>
        </is>
      </c>
      <c r="C161" s="47" t="inlineStr">
        <is>
          <t>스토리·서사 (Story &amp; Narrative)</t>
        </is>
      </c>
      <c r="D161" s="47" t="inlineStr">
        <is>
          <t>M2-Q2</t>
        </is>
      </c>
      <c r="E161" s="47" t="n"/>
      <c r="F161" s="46" t="inlineStr">
        <is>
          <t>완료</t>
        </is>
      </c>
      <c r="G161" s="47" t="n"/>
      <c r="H161" s="47" t="inlineStr">
        <is>
          <t>M1완료</t>
        </is>
      </c>
    </row>
    <row r="162" ht="18" customHeight="1">
      <c r="A162" s="46" t="inlineStr">
        <is>
          <t>N-76</t>
        </is>
      </c>
      <c r="B162" s="47" t="inlineStr">
        <is>
          <t>상점 리롤권 판매 (런 단위 리롤 +N)</t>
        </is>
      </c>
      <c r="C162" s="47" t="inlineStr">
        <is>
          <t>스토리·서사 (Story &amp; Narrative)</t>
        </is>
      </c>
      <c r="D162" s="47" t="inlineStr">
        <is>
          <t>M2-Q2</t>
        </is>
      </c>
      <c r="E162" s="47" t="n"/>
      <c r="F162" s="46" t="inlineStr">
        <is>
          <t>대기</t>
        </is>
      </c>
      <c r="G162" s="47" t="n"/>
      <c r="H162" s="47" t="n"/>
    </row>
    <row r="163" ht="18" customHeight="1">
      <c r="A163" s="46" t="inlineStr">
        <is>
          <t>N-77</t>
        </is>
      </c>
      <c r="B163" s="47" t="inlineStr">
        <is>
          <t>PlayMode 테스트 확충 (진행·전투·특전 13건)</t>
        </is>
      </c>
      <c r="C163" s="47" t="inlineStr">
        <is>
          <t>스토리·서사 (Story &amp; Narrative)</t>
        </is>
      </c>
      <c r="D163" s="47" t="inlineStr">
        <is>
          <t>M2-Q2</t>
        </is>
      </c>
      <c r="E163" s="47" t="n"/>
      <c r="F163" s="46" t="inlineStr">
        <is>
          <t>완료</t>
        </is>
      </c>
      <c r="G163" s="47" t="n"/>
      <c r="H163" s="47" t="inlineStr">
        <is>
          <t>M1완료</t>
        </is>
      </c>
    </row>
    <row r="164" ht="18" customHeight="1">
      <c r="A164" s="46" t="inlineStr">
        <is>
          <t>N-78</t>
        </is>
      </c>
      <c r="B164" s="47" t="inlineStr">
        <is>
          <t>프레임 후처리 도구 5종 (팔레트/무게중심/아틀라스)</t>
        </is>
      </c>
      <c r="C164" s="47" t="inlineStr">
        <is>
          <t>스토리·서사 (Story &amp; Narrative)</t>
        </is>
      </c>
      <c r="D164" s="47" t="inlineStr">
        <is>
          <t>M2-Q2~M3-Q3</t>
        </is>
      </c>
      <c r="E164" s="47" t="n"/>
      <c r="F164" s="46" t="inlineStr">
        <is>
          <t>완료</t>
        </is>
      </c>
      <c r="G164" s="47" t="n"/>
      <c r="H164" s="47" t="inlineStr">
        <is>
          <t>M1완료</t>
        </is>
      </c>
    </row>
    <row r="165" ht="18" customHeight="1">
      <c r="A165" s="46" t="inlineStr">
        <is>
          <t>N-79</t>
        </is>
      </c>
      <c r="B165" s="47" t="inlineStr">
        <is>
          <t>에디터 도구 창 통합 (메뉴 33→1 · 레지스트리·탭·설명 필수)</t>
        </is>
      </c>
      <c r="C165" s="47" t="inlineStr">
        <is>
          <t>스토리·서사 (Story &amp; Narrative)</t>
        </is>
      </c>
      <c r="D165" s="47" t="inlineStr">
        <is>
          <t>M2-Q2</t>
        </is>
      </c>
      <c r="E165" s="47" t="n"/>
      <c r="F165" s="46" t="inlineStr">
        <is>
          <t>대기</t>
        </is>
      </c>
      <c r="G165" s="47" t="n"/>
      <c r="H165" s="47" t="n"/>
    </row>
    <row r="166" ht="18" customHeight="1">
      <c r="A166" s="46" t="inlineStr">
        <is>
          <t>N-80</t>
        </is>
      </c>
      <c r="B166" s="47" t="inlineStr">
        <is>
          <t>Stat Inspector 창 (선택 추적 · 배율 층별 · 무기 강화·승계 확인)</t>
        </is>
      </c>
      <c r="C166" s="47" t="inlineStr">
        <is>
          <t>스토리·서사 (Story &amp; Narrative)</t>
        </is>
      </c>
      <c r="D166" s="47" t="inlineStr">
        <is>
          <t>M2-Q2</t>
        </is>
      </c>
      <c r="E166" s="47" t="n"/>
      <c r="F166" s="46" t="inlineStr">
        <is>
          <t>완료</t>
        </is>
      </c>
      <c r="G166" s="47" t="n"/>
      <c r="H166" s="47" t="inlineStr">
        <is>
          <t>M1완료</t>
        </is>
      </c>
    </row>
    <row r="167" ht="18" customHeight="1">
      <c r="A167" s="46" t="inlineStr">
        <is>
          <t>N-81</t>
        </is>
      </c>
      <c r="B167" s="47" t="inlineStr">
        <is>
          <t>폼 4종 프레임 애니메이션 제작 (약 250장)</t>
        </is>
      </c>
      <c r="C167" s="47" t="inlineStr">
        <is>
          <t>스토리·서사 (Story &amp; Narrative)</t>
        </is>
      </c>
      <c r="D167" s="47" t="inlineStr">
        <is>
          <t>M3-Q3~M3-Q4</t>
        </is>
      </c>
      <c r="E167" s="47" t="n"/>
      <c r="F167" s="46" t="inlineStr">
        <is>
          <t>완료</t>
        </is>
      </c>
      <c r="G167" s="47" t="n"/>
      <c r="H167" s="47" t="inlineStr">
        <is>
          <t>M1완료</t>
        </is>
      </c>
    </row>
    <row r="168" ht="18" customHeight="1">
      <c r="A168" s="46" t="inlineStr">
        <is>
          <t>N-82</t>
        </is>
      </c>
      <c r="B168" s="47" t="inlineStr">
        <is>
          <t>Prologue — 첫 추락 자막 (1인칭 4문단 확정)</t>
        </is>
      </c>
      <c r="C168" s="47" t="inlineStr">
        <is>
          <t>스토리·서사 (Story &amp; Narrative)</t>
        </is>
      </c>
      <c r="D168" s="47" t="inlineStr">
        <is>
          <t>M2-Q2</t>
        </is>
      </c>
      <c r="E168" s="47" t="n"/>
      <c r="F168" s="46" t="inlineStr">
        <is>
          <t>대기</t>
        </is>
      </c>
      <c r="G168" s="47" t="n"/>
      <c r="H168" s="47" t="n"/>
    </row>
    <row r="169" ht="18" customHeight="1">
      <c r="A169" s="46" t="inlineStr">
        <is>
          <t>N-83</t>
        </is>
      </c>
      <c r="B169" s="47" t="inlineStr">
        <is>
          <t>엔딩 자막 1인칭 전환 + 자막 텍스트 CSV 이관</t>
        </is>
      </c>
      <c r="C169" s="47" t="inlineStr">
        <is>
          <t>스토리·서사 (Story &amp; Narrative)</t>
        </is>
      </c>
      <c r="D169" s="47" t="inlineStr">
        <is>
          <t>M2-Q2</t>
        </is>
      </c>
      <c r="E169" s="47" t="n"/>
      <c r="F169" s="46" t="inlineStr">
        <is>
          <t>대기</t>
        </is>
      </c>
      <c r="G169" s="47" t="n"/>
      <c r="H169" s="47" t="n"/>
    </row>
    <row r="170" ht="18" customHeight="1">
      <c r="A170" s="46" t="inlineStr">
        <is>
          <t>N-84</t>
        </is>
      </c>
      <c r="B170" s="47" t="inlineStr">
        <is>
          <t>환경 서사 (벽화·유물)</t>
        </is>
      </c>
      <c r="C170" s="47" t="inlineStr">
        <is>
          <t>스토리·서사 (Story &amp; Narrative)</t>
        </is>
      </c>
      <c r="D170" s="47" t="inlineStr">
        <is>
          <t>M2-Q2~M3-Q4</t>
        </is>
      </c>
      <c r="E170" s="47" t="n"/>
      <c r="F170" s="46" t="inlineStr">
        <is>
          <t>대기</t>
        </is>
      </c>
      <c r="G170" s="47" t="n"/>
      <c r="H170" s="47" t="n"/>
    </row>
    <row r="171" ht="18" customHeight="1">
      <c r="A171" s="46" t="inlineStr">
        <is>
          <t>N-85</t>
        </is>
      </c>
      <c r="B171" s="47" t="inlineStr">
        <is>
          <t>Act1 — 균열·불꽃의 회랑</t>
        </is>
      </c>
      <c r="C171" s="47" t="inlineStr">
        <is>
          <t>스토리·서사 (Story &amp; Narrative)</t>
        </is>
      </c>
      <c r="D171" s="47" t="inlineStr">
        <is>
          <t>M3-Q4</t>
        </is>
      </c>
      <c r="E171" s="47" t="n"/>
      <c r="F171" s="46" t="inlineStr">
        <is>
          <t>대기</t>
        </is>
      </c>
      <c r="G171" s="47" t="n"/>
      <c r="H171" s="47" t="n"/>
    </row>
    <row r="172" ht="18" customHeight="1">
      <c r="A172" s="46" t="inlineStr">
        <is>
          <t>N-86</t>
        </is>
      </c>
      <c r="B172" s="47" t="inlineStr">
        <is>
          <t>보스 컷씬 (정지화+자막)</t>
        </is>
      </c>
      <c r="C172" s="47" t="inlineStr">
        <is>
          <t>스토리·서사 (Story &amp; Narrative)</t>
        </is>
      </c>
      <c r="D172" s="47" t="inlineStr">
        <is>
          <t>M3-Q4~M3-Q5</t>
        </is>
      </c>
      <c r="E172" s="47" t="n"/>
      <c r="F172" s="46" t="inlineStr">
        <is>
          <t>대기</t>
        </is>
      </c>
      <c r="G172" s="47" t="n"/>
      <c r="H172" s="47" t="n"/>
    </row>
    <row r="173" ht="18" customHeight="1">
      <c r="A173" s="46" t="inlineStr">
        <is>
          <t>N-87</t>
        </is>
      </c>
      <c r="B173" s="47" t="inlineStr">
        <is>
          <t>보이스 (한국어, 주요 보스 5)</t>
        </is>
      </c>
      <c r="C173" s="47" t="inlineStr">
        <is>
          <t>스토리·서사 (Story &amp; Narrative)</t>
        </is>
      </c>
      <c r="D173" s="47" t="inlineStr">
        <is>
          <t>M3-Q5</t>
        </is>
      </c>
      <c r="E173" s="47" t="n"/>
      <c r="F173" s="46" t="inlineStr">
        <is>
          <t>대기</t>
        </is>
      </c>
      <c r="G173" s="47" t="n"/>
      <c r="H173" s="47" t="n"/>
    </row>
    <row r="174" ht="18" customHeight="1">
      <c r="A174" s="46" t="inlineStr">
        <is>
          <t>N-88</t>
        </is>
      </c>
      <c r="B174" s="47" t="inlineStr">
        <is>
          <t>Act2 — 왕좌·빙결의 영지</t>
        </is>
      </c>
      <c r="C174" s="47" t="inlineStr">
        <is>
          <t>스토리·서사 (Story &amp; Narrative)</t>
        </is>
      </c>
      <c r="D174" s="47" t="inlineStr">
        <is>
          <t>M3-Q5~M4-Q7</t>
        </is>
      </c>
      <c r="E174" s="47" t="n"/>
      <c r="F174" s="46" t="inlineStr">
        <is>
          <t>대기</t>
        </is>
      </c>
      <c r="G174" s="47" t="n"/>
      <c r="H174" s="47" t="n"/>
    </row>
    <row r="175" ht="18" customHeight="1">
      <c r="A175" s="46" t="inlineStr">
        <is>
          <t>N-89</t>
        </is>
      </c>
      <c r="B175" s="47" t="inlineStr">
        <is>
          <t>Act3 — 심연의 핵</t>
        </is>
      </c>
      <c r="C175" s="47" t="inlineStr">
        <is>
          <t>스토리·서사 (Story &amp; Narrative)</t>
        </is>
      </c>
      <c r="D175" s="47" t="inlineStr">
        <is>
          <t>M4-Q8~M4-Q9</t>
        </is>
      </c>
      <c r="E175" s="47" t="n"/>
      <c r="F175" s="46" t="inlineStr">
        <is>
          <t>대기</t>
        </is>
      </c>
      <c r="G175" s="47" t="n"/>
      <c r="H175" s="47" t="n"/>
    </row>
    <row r="176" ht="18" customHeight="1">
      <c r="A176" s="46" t="inlineStr">
        <is>
          <t>N-90</t>
        </is>
      </c>
      <c r="B176" s="47" t="inlineStr">
        <is>
          <t>Act 전환 컷씬 (애니메이션)</t>
        </is>
      </c>
      <c r="C176" s="47" t="inlineStr">
        <is>
          <t>스토리·서사 (Story &amp; Narrative)</t>
        </is>
      </c>
      <c r="D176" s="47" t="inlineStr">
        <is>
          <t>M4-Q8~M4-Q9</t>
        </is>
      </c>
      <c r="E176" s="47" t="n"/>
      <c r="F176" s="46" t="inlineStr">
        <is>
          <t>대기</t>
        </is>
      </c>
      <c r="G176" s="47" t="n"/>
      <c r="H176" s="47" t="inlineStr">
        <is>
          <t>히든</t>
        </is>
      </c>
    </row>
    <row r="177" ht="18" customHeight="1">
      <c r="A177" s="46" t="inlineStr">
        <is>
          <t>N-91</t>
        </is>
      </c>
      <c r="B177" s="47" t="inlineStr">
        <is>
          <t>다중 엔딩 2종 (귀환·동화)</t>
        </is>
      </c>
      <c r="C177" s="47" t="inlineStr">
        <is>
          <t>스토리·서사 (Story &amp; Narrative)</t>
        </is>
      </c>
      <c r="D177" s="47" t="inlineStr">
        <is>
          <t>M4-Q10</t>
        </is>
      </c>
      <c r="E177" s="47" t="n"/>
      <c r="F177" s="46" t="inlineStr">
        <is>
          <t>대기</t>
        </is>
      </c>
      <c r="G177" s="47" t="n"/>
      <c r="H177" s="47" t="inlineStr">
        <is>
          <t>히든</t>
        </is>
      </c>
    </row>
    <row r="178" ht="18" customHeight="1">
      <c r="A178" s="46" t="inlineStr">
        <is>
          <t>N-92</t>
        </is>
      </c>
      <c r="B178" s="47" t="inlineStr">
        <is>
          <t>히든 엔딩 (첫 추락자와 동화)</t>
        </is>
      </c>
      <c r="C178" s="47" t="inlineStr">
        <is>
          <t>스토리·서사 (Story &amp; Narrative)</t>
        </is>
      </c>
      <c r="D178" s="47" t="inlineStr">
        <is>
          <t>M4-Q10</t>
        </is>
      </c>
      <c r="E178" s="47" t="n"/>
      <c r="F178" s="46" t="inlineStr">
        <is>
          <t>대기</t>
        </is>
      </c>
      <c r="G178" s="47" t="n"/>
      <c r="H178" s="47" t="inlineStr">
        <is>
          <t>히든</t>
        </is>
      </c>
    </row>
    <row r="179" ht="18" customHeight="1">
      <c r="A179" s="46" t="inlineStr">
        <is>
          <t>D-01</t>
        </is>
      </c>
      <c r="B179" s="47" t="inlineStr">
        <is>
          <t>BGM Stage 1 (placeholder→정식)</t>
        </is>
      </c>
      <c r="C179" s="47" t="inlineStr">
        <is>
          <t>사운드 (Audio)</t>
        </is>
      </c>
      <c r="D179" s="47" t="inlineStr">
        <is>
          <t>M2-Q1~M3-Q3</t>
        </is>
      </c>
      <c r="E179" s="47" t="n"/>
      <c r="F179" s="46" t="inlineStr">
        <is>
          <t>대기</t>
        </is>
      </c>
      <c r="G179" s="47" t="n"/>
      <c r="H179" s="47" t="n"/>
    </row>
    <row r="180" ht="18" customHeight="1">
      <c r="A180" s="46" t="inlineStr">
        <is>
          <t>D-02</t>
        </is>
      </c>
      <c r="B180" s="47" t="inlineStr">
        <is>
          <t>BGM Stage 2/3 + Title Theme</t>
        </is>
      </c>
      <c r="C180" s="47" t="inlineStr">
        <is>
          <t>사운드 (Audio)</t>
        </is>
      </c>
      <c r="D180" s="47" t="inlineStr">
        <is>
          <t>M2-Q1~M2-Q2</t>
        </is>
      </c>
      <c r="E180" s="47" t="n"/>
      <c r="F180" s="46" t="inlineStr">
        <is>
          <t>대기</t>
        </is>
      </c>
      <c r="G180" s="47" t="n"/>
      <c r="H180" s="47" t="n"/>
    </row>
    <row r="181" ht="18" customHeight="1">
      <c r="A181" s="46" t="inlineStr">
        <is>
          <t>D-03</t>
        </is>
      </c>
      <c r="B181" s="47" t="inlineStr">
        <is>
          <t>BGM Stage 4/5</t>
        </is>
      </c>
      <c r="C181" s="47" t="inlineStr">
        <is>
          <t>사운드 (Audio)</t>
        </is>
      </c>
      <c r="D181" s="47" t="inlineStr">
        <is>
          <t>M3-Q3~M3-Q4</t>
        </is>
      </c>
      <c r="E181" s="47" t="n"/>
      <c r="F181" s="46" t="inlineStr">
        <is>
          <t>대기</t>
        </is>
      </c>
      <c r="G181" s="47" t="n"/>
      <c r="H181" s="47" t="n"/>
    </row>
    <row r="182" ht="18" customHeight="1">
      <c r="A182" s="46" t="inlineStr">
        <is>
          <t>D-04</t>
        </is>
      </c>
      <c r="B182" s="47" t="inlineStr">
        <is>
          <t>BGM Boss Theme A/B</t>
        </is>
      </c>
      <c r="C182" s="47" t="inlineStr">
        <is>
          <t>사운드 (Audio)</t>
        </is>
      </c>
      <c r="D182" s="47" t="inlineStr">
        <is>
          <t>M3-Q3~M3-Q4</t>
        </is>
      </c>
      <c r="E182" s="47" t="n"/>
      <c r="F182" s="46" t="inlineStr">
        <is>
          <t>대기</t>
        </is>
      </c>
      <c r="G182" s="47" t="n"/>
      <c r="H182" s="47" t="n"/>
    </row>
    <row r="183" ht="18" customHeight="1">
      <c r="A183" s="46" t="inlineStr">
        <is>
          <t>D-05</t>
        </is>
      </c>
      <c r="B183" s="47" t="inlineStr">
        <is>
          <t>BGM Result Theme (승/패)</t>
        </is>
      </c>
      <c r="C183" s="47" t="inlineStr">
        <is>
          <t>사운드 (Audio)</t>
        </is>
      </c>
      <c r="D183" s="47" t="inlineStr">
        <is>
          <t>M3-Q3</t>
        </is>
      </c>
      <c r="E183" s="47" t="n"/>
      <c r="F183" s="46" t="inlineStr">
        <is>
          <t>대기</t>
        </is>
      </c>
      <c r="G183" s="47" t="n"/>
      <c r="H183" s="47" t="n"/>
    </row>
    <row r="184" ht="18" customHeight="1">
      <c r="A184" s="46" t="inlineStr">
        <is>
          <t>D-06</t>
        </is>
      </c>
      <c r="B184" s="47" t="inlineStr">
        <is>
          <t>BGM Final Boss Theme</t>
        </is>
      </c>
      <c r="C184" s="47" t="inlineStr">
        <is>
          <t>사운드 (Audio)</t>
        </is>
      </c>
      <c r="D184" s="47" t="inlineStr">
        <is>
          <t>M4-Q9</t>
        </is>
      </c>
      <c r="E184" s="47" t="n"/>
      <c r="F184" s="46" t="inlineStr">
        <is>
          <t>대기</t>
        </is>
      </c>
      <c r="G184" s="47" t="n"/>
      <c r="H184" s="47" t="n"/>
    </row>
    <row r="185" ht="18" customHeight="1">
      <c r="A185" s="46" t="inlineStr">
        <is>
          <t>D-07</t>
        </is>
      </c>
      <c r="B185" s="47" t="inlineStr">
        <is>
          <t>BGM Hidden Theme</t>
        </is>
      </c>
      <c r="C185" s="47" t="inlineStr">
        <is>
          <t>사운드 (Audio)</t>
        </is>
      </c>
      <c r="D185" s="47" t="inlineStr">
        <is>
          <t>M4-Q10</t>
        </is>
      </c>
      <c r="E185" s="47" t="n"/>
      <c r="F185" s="46" t="inlineStr">
        <is>
          <t>대기</t>
        </is>
      </c>
      <c r="G185" s="47" t="n"/>
      <c r="H185" s="47" t="inlineStr">
        <is>
          <t>히든</t>
        </is>
      </c>
    </row>
    <row r="186" ht="18" customHeight="1">
      <c r="A186" s="46" t="inlineStr">
        <is>
          <t>D-08</t>
        </is>
      </c>
      <c r="B186" s="47" t="inlineStr">
        <is>
          <t>SFX 폼 교체·스킬 30종</t>
        </is>
      </c>
      <c r="C186" s="47" t="inlineStr">
        <is>
          <t>사운드 (Audio)</t>
        </is>
      </c>
      <c r="D186" s="47" t="inlineStr">
        <is>
          <t>M2-Q1</t>
        </is>
      </c>
      <c r="E186" s="47" t="n"/>
      <c r="F186" s="46" t="inlineStr">
        <is>
          <t>대기</t>
        </is>
      </c>
      <c r="G186" s="47" t="n"/>
      <c r="H186" s="47" t="n"/>
    </row>
    <row r="187" ht="18" customHeight="1">
      <c r="A187" s="46" t="inlineStr">
        <is>
          <t>D-09</t>
        </is>
      </c>
      <c r="B187" s="47" t="inlineStr">
        <is>
          <t>SFX 적 공격·피격·죽음</t>
        </is>
      </c>
      <c r="C187" s="47" t="inlineStr">
        <is>
          <t>사운드 (Audio)</t>
        </is>
      </c>
      <c r="D187" s="47" t="inlineStr">
        <is>
          <t>M2-Q2</t>
        </is>
      </c>
      <c r="E187" s="47" t="n"/>
      <c r="F187" s="46" t="inlineStr">
        <is>
          <t>대기</t>
        </is>
      </c>
      <c r="G187" s="47" t="n"/>
      <c r="H187" s="47" t="n"/>
    </row>
    <row r="188" ht="18" customHeight="1">
      <c r="A188" s="46" t="inlineStr">
        <is>
          <t>D-10</t>
        </is>
      </c>
      <c r="B188" s="47" t="inlineStr">
        <is>
          <t>SFX UI 풀 (드래프트 호버·리롤·스킵)</t>
        </is>
      </c>
      <c r="C188" s="47" t="inlineStr">
        <is>
          <t>사운드 (Audio)</t>
        </is>
      </c>
      <c r="D188" s="47" t="inlineStr">
        <is>
          <t>M3-Q3</t>
        </is>
      </c>
      <c r="E188" s="47" t="n"/>
      <c r="F188" s="46" t="inlineStr">
        <is>
          <t>대기</t>
        </is>
      </c>
      <c r="G188" s="47" t="n"/>
      <c r="H188" s="47" t="n"/>
    </row>
    <row r="189" ht="18" customHeight="1">
      <c r="A189" s="46" t="inlineStr">
        <is>
          <t>D-11</t>
        </is>
      </c>
      <c r="B189" s="47" t="inlineStr">
        <is>
          <t>SFX 보스 음성 효과</t>
        </is>
      </c>
      <c r="C189" s="47" t="inlineStr">
        <is>
          <t>사운드 (Audio)</t>
        </is>
      </c>
      <c r="D189" s="47" t="inlineStr">
        <is>
          <t>M3-Q4</t>
        </is>
      </c>
      <c r="E189" s="47" t="n"/>
      <c r="F189" s="46" t="inlineStr">
        <is>
          <t>대기</t>
        </is>
      </c>
      <c r="G189" s="47" t="n"/>
      <c r="H189" s="47" t="n"/>
    </row>
    <row r="190" ht="18" customHeight="1">
      <c r="A190" s="46" t="inlineStr">
        <is>
          <t>I-01</t>
        </is>
      </c>
      <c r="B190" s="47" t="inlineStr">
        <is>
          <t>HUD + DraftPanel + ResultPanel</t>
        </is>
      </c>
      <c r="C190" s="47" t="inlineStr">
        <is>
          <t>UI·메뉴 (UI / Menus)</t>
        </is>
      </c>
      <c r="D190" s="47" t="inlineStr">
        <is>
          <t>M1잔여</t>
        </is>
      </c>
      <c r="E190" s="47" t="n"/>
      <c r="F190" s="46" t="inlineStr">
        <is>
          <t>완료</t>
        </is>
      </c>
      <c r="G190" s="47" t="n"/>
      <c r="H190" s="47" t="inlineStr">
        <is>
          <t>M1완료</t>
        </is>
      </c>
    </row>
    <row r="191" ht="18" customHeight="1">
      <c r="A191" s="46" t="inlineStr">
        <is>
          <t>I-02</t>
        </is>
      </c>
      <c r="B191" s="47" t="inlineStr">
        <is>
          <t>미드런 폼 보상 슬롯 선택 모달</t>
        </is>
      </c>
      <c r="C191" s="47" t="inlineStr">
        <is>
          <t>UI·메뉴 (UI / Menus)</t>
        </is>
      </c>
      <c r="D191" s="47" t="inlineStr">
        <is>
          <t>M2-Q1</t>
        </is>
      </c>
      <c r="E191" s="47" t="n"/>
      <c r="F191" s="46" t="inlineStr">
        <is>
          <t>완료</t>
        </is>
      </c>
      <c r="G191" s="47" t="n"/>
      <c r="H191" s="47" t="inlineStr">
        <is>
          <t>M1완료</t>
        </is>
      </c>
    </row>
    <row r="192" ht="18" customHeight="1">
      <c r="A192" s="46" t="inlineStr">
        <is>
          <t>I-03</t>
        </is>
      </c>
      <c r="B192" s="47" t="inlineStr">
        <is>
          <t>폼 보상 정식 트리거 (FormAltar)</t>
        </is>
      </c>
      <c r="C192" s="47" t="inlineStr">
        <is>
          <t>UI·메뉴 (UI / Menus)</t>
        </is>
      </c>
      <c r="D192" s="47" t="inlineStr">
        <is>
          <t>M2-Q1</t>
        </is>
      </c>
      <c r="E192" s="47" t="n"/>
      <c r="F192" s="46" t="inlineStr">
        <is>
          <t>완료</t>
        </is>
      </c>
      <c r="G192" s="47" t="n"/>
      <c r="H192" s="47" t="inlineStr">
        <is>
          <t>M1완료</t>
        </is>
      </c>
    </row>
    <row r="193" ht="18" customHeight="1">
      <c r="A193" s="46" t="inlineStr">
        <is>
          <t>I-04</t>
        </is>
      </c>
      <c r="B193" s="47" t="inlineStr">
        <is>
          <t>폼 보상 룸 게이트 (룸 진행 연동)</t>
        </is>
      </c>
      <c r="C193" s="47" t="inlineStr">
        <is>
          <t>UI·메뉴 (UI / Menus)</t>
        </is>
      </c>
      <c r="D193" s="47" t="inlineStr">
        <is>
          <t>M2-Q1</t>
        </is>
      </c>
      <c r="E193" s="47" t="n"/>
      <c r="F193" s="46" t="inlineStr">
        <is>
          <t>완료</t>
        </is>
      </c>
      <c r="G193" s="47" t="n"/>
      <c r="H193" s="47" t="inlineStr">
        <is>
          <t>M1완료</t>
        </is>
      </c>
    </row>
    <row r="194" ht="18" customHeight="1">
      <c r="A194" s="46" t="inlineStr">
        <is>
          <t>I-05</t>
        </is>
      </c>
      <c r="B194" s="47" t="inlineStr">
        <is>
          <t>폼 편향 경고 배너 (MF-5)</t>
        </is>
      </c>
      <c r="C194" s="47" t="inlineStr">
        <is>
          <t>UI·메뉴 (UI / Menus)</t>
        </is>
      </c>
      <c r="D194" s="47" t="inlineStr">
        <is>
          <t>M2-Q1</t>
        </is>
      </c>
      <c r="E194" s="47" t="n"/>
      <c r="F194" s="46" t="inlineStr">
        <is>
          <t>완료</t>
        </is>
      </c>
      <c r="G194" s="47" t="n"/>
      <c r="H194" s="47" t="inlineStr">
        <is>
          <t>M1완료</t>
        </is>
      </c>
    </row>
    <row r="195" ht="18" customHeight="1">
      <c r="A195" s="46" t="inlineStr">
        <is>
          <t>I-06</t>
        </is>
      </c>
      <c r="B195" s="47" t="inlineStr">
        <is>
          <t>Pause 패널 + 게임 종료 경로</t>
        </is>
      </c>
      <c r="C195" s="47" t="inlineStr">
        <is>
          <t>UI·메뉴 (UI / Menus)</t>
        </is>
      </c>
      <c r="D195" s="47" t="inlineStr">
        <is>
          <t>M2-Q1</t>
        </is>
      </c>
      <c r="E195" s="47" t="n"/>
      <c r="F195" s="46" t="inlineStr">
        <is>
          <t>완료</t>
        </is>
      </c>
      <c r="G195" s="47" t="n"/>
      <c r="H195" s="47" t="inlineStr">
        <is>
          <t>M1완료</t>
        </is>
      </c>
    </row>
    <row r="196" ht="18" customHeight="1">
      <c r="A196" s="46" t="inlineStr">
        <is>
          <t>I-07</t>
        </is>
      </c>
      <c r="B196" s="47" t="inlineStr">
        <is>
          <t>메인 메뉴 (Title 씬)</t>
        </is>
      </c>
      <c r="C196" s="47" t="inlineStr">
        <is>
          <t>UI·메뉴 (UI / Menus)</t>
        </is>
      </c>
      <c r="D196" s="47" t="inlineStr">
        <is>
          <t>M2-Q1</t>
        </is>
      </c>
      <c r="E196" s="47" t="n"/>
      <c r="F196" s="46" t="inlineStr">
        <is>
          <t>완료</t>
        </is>
      </c>
      <c r="G196" s="47" t="n"/>
      <c r="H196" s="47" t="inlineStr">
        <is>
          <t>M1완료</t>
        </is>
      </c>
    </row>
    <row r="197" ht="18" customHeight="1">
      <c r="A197" s="46" t="inlineStr">
        <is>
          <t>I-08</t>
        </is>
      </c>
      <c r="B197" s="47" t="inlineStr">
        <is>
          <t>타이틀 협곡 배경 애니메이션</t>
        </is>
      </c>
      <c r="C197" s="47" t="inlineStr">
        <is>
          <t>UI·메뉴 (UI / Menus)</t>
        </is>
      </c>
      <c r="D197" s="47" t="inlineStr">
        <is>
          <t>M2-Q2</t>
        </is>
      </c>
      <c r="E197" s="47" t="n"/>
      <c r="F197" s="46" t="inlineStr">
        <is>
          <t>완료</t>
        </is>
      </c>
      <c r="G197" s="47" t="n"/>
      <c r="H197" s="47" t="inlineStr">
        <is>
          <t>M1완료</t>
        </is>
      </c>
    </row>
    <row r="198" ht="18" customHeight="1">
      <c r="A198" s="46" t="inlineStr">
        <is>
          <t>I-09</t>
        </is>
      </c>
      <c r="B198" s="47" t="inlineStr">
        <is>
          <t>Settings 1차 (볼륨·전체화면·키 가이드)</t>
        </is>
      </c>
      <c r="C198" s="47" t="inlineStr">
        <is>
          <t>UI·메뉴 (UI / Menus)</t>
        </is>
      </c>
      <c r="D198" s="47" t="inlineStr">
        <is>
          <t>M2-Q1</t>
        </is>
      </c>
      <c r="E198" s="47" t="n"/>
      <c r="F198" s="46" t="inlineStr">
        <is>
          <t>완료</t>
        </is>
      </c>
      <c r="G198" s="47" t="n"/>
      <c r="H198" s="47" t="inlineStr">
        <is>
          <t>M1완료</t>
        </is>
      </c>
    </row>
    <row r="199" ht="18" customHeight="1">
      <c r="A199" s="46" t="inlineStr">
        <is>
          <t>I-10</t>
        </is>
      </c>
      <c r="B199" s="47" t="inlineStr">
        <is>
          <t>Settings 2차 (해상도 선택 + 시작 시 적용)</t>
        </is>
      </c>
      <c r="C199" s="47" t="inlineStr">
        <is>
          <t>UI·메뉴 (UI / Menus)</t>
        </is>
      </c>
      <c r="D199" s="47" t="inlineStr">
        <is>
          <t>M2-Q2</t>
        </is>
      </c>
      <c r="E199" s="47" t="n"/>
      <c r="F199" s="46" t="inlineStr">
        <is>
          <t>완료</t>
        </is>
      </c>
      <c r="G199" s="47" t="n"/>
      <c r="H199" s="47" t="inlineStr">
        <is>
          <t>M1완료</t>
        </is>
      </c>
    </row>
    <row r="200" ht="18" customHeight="1">
      <c r="A200" s="46" t="inlineStr">
        <is>
          <t>I-11</t>
        </is>
      </c>
      <c r="B200" s="47" t="inlineStr">
        <is>
          <t>로비 ESC 메뉴 + ESC 소유권 통일</t>
        </is>
      </c>
      <c r="C200" s="47" t="inlineStr">
        <is>
          <t>UI·메뉴 (UI / Menus)</t>
        </is>
      </c>
      <c r="D200" s="47" t="inlineStr">
        <is>
          <t>M2-Q2</t>
        </is>
      </c>
      <c r="E200" s="47" t="n"/>
      <c r="F200" s="46" t="inlineStr">
        <is>
          <t>완료</t>
        </is>
      </c>
      <c r="G200" s="47" t="n"/>
      <c r="H200" s="47" t="inlineStr">
        <is>
          <t>M1완료</t>
        </is>
      </c>
    </row>
    <row r="201" ht="18" customHeight="1">
      <c r="A201" s="46" t="inlineStr">
        <is>
          <t>I-12</t>
        </is>
      </c>
      <c r="B201" s="47" t="inlineStr">
        <is>
          <t>엔딩 시퀀스 (자막·크레딧·완주 분기)</t>
        </is>
      </c>
      <c r="C201" s="47" t="inlineStr">
        <is>
          <t>UI·메뉴 (UI / Menus)</t>
        </is>
      </c>
      <c r="D201" s="47" t="inlineStr">
        <is>
          <t>M2-Q2</t>
        </is>
      </c>
      <c r="E201" s="47" t="n"/>
      <c r="F201" s="46" t="inlineStr">
        <is>
          <t>완료</t>
        </is>
      </c>
      <c r="G201" s="47" t="n"/>
      <c r="H201" s="47" t="inlineStr">
        <is>
          <t>M1완료</t>
        </is>
      </c>
    </row>
    <row r="202" ht="18" customHeight="1">
      <c r="A202" s="46" t="inlineStr">
        <is>
          <t>I-13</t>
        </is>
      </c>
      <c r="B202" s="47" t="inlineStr">
        <is>
          <t>시너지 카운터 HUD</t>
        </is>
      </c>
      <c r="C202" s="47" t="inlineStr">
        <is>
          <t>UI·메뉴 (UI / Menus)</t>
        </is>
      </c>
      <c r="D202" s="47" t="inlineStr">
        <is>
          <t>M2-Q1</t>
        </is>
      </c>
      <c r="E202" s="47" t="n"/>
      <c r="F202" s="46" t="inlineStr">
        <is>
          <t>완료</t>
        </is>
      </c>
      <c r="G202" s="47" t="n"/>
      <c r="H202" s="47" t="inlineStr">
        <is>
          <t>M1완료</t>
        </is>
      </c>
    </row>
    <row r="203" ht="18" customHeight="1">
      <c r="A203" s="46" t="inlineStr">
        <is>
          <t>I-14</t>
        </is>
      </c>
      <c r="B203" s="47" t="inlineStr">
        <is>
          <t>골드 카운터 HUD (상시 표시)</t>
        </is>
      </c>
      <c r="C203" s="47" t="inlineStr">
        <is>
          <t>UI·메뉴 (UI / Menus)</t>
        </is>
      </c>
      <c r="D203" s="47" t="inlineStr">
        <is>
          <t>M2-Q2</t>
        </is>
      </c>
      <c r="E203" s="47" t="n"/>
      <c r="F203" s="46" t="inlineStr">
        <is>
          <t>완료</t>
        </is>
      </c>
      <c r="G203" s="47" t="n"/>
      <c r="H203" s="47" t="inlineStr">
        <is>
          <t>M1완료</t>
        </is>
      </c>
    </row>
    <row r="204" ht="18" customHeight="1">
      <c r="A204" s="46" t="inlineStr">
        <is>
          <t>I-15</t>
        </is>
      </c>
      <c r="B204" s="47" t="inlineStr">
        <is>
          <t>연소 스택 HUD (최근 대상 표시)</t>
        </is>
      </c>
      <c r="C204" s="47" t="inlineStr">
        <is>
          <t>UI·메뉴 (UI / Menus)</t>
        </is>
      </c>
      <c r="D204" s="47" t="inlineStr">
        <is>
          <t>M2-Q2</t>
        </is>
      </c>
      <c r="E204" s="47" t="n"/>
      <c r="F204" s="46" t="inlineStr">
        <is>
          <t>완료</t>
        </is>
      </c>
      <c r="G204" s="47" t="n"/>
      <c r="H204" s="47" t="inlineStr">
        <is>
          <t>M1완료</t>
        </is>
      </c>
    </row>
    <row r="205" ht="18" customHeight="1">
      <c r="A205" s="46" t="inlineStr">
        <is>
          <t>I-16</t>
        </is>
      </c>
      <c r="B205" s="47" t="inlineStr">
        <is>
          <t>UI 정렬 순위 SoT (UiSortingOrder)</t>
        </is>
      </c>
      <c r="C205" s="47" t="inlineStr">
        <is>
          <t>UI·메뉴 (UI / Menus)</t>
        </is>
      </c>
      <c r="D205" s="47" t="inlineStr">
        <is>
          <t>M2-Q2</t>
        </is>
      </c>
      <c r="E205" s="47" t="n"/>
      <c r="F205" s="46" t="inlineStr">
        <is>
          <t>완료</t>
        </is>
      </c>
      <c r="G205" s="47" t="n"/>
      <c r="H205" s="47" t="inlineStr">
        <is>
          <t>M1완료</t>
        </is>
      </c>
    </row>
    <row r="206" ht="18" customHeight="1">
      <c r="A206" s="46" t="inlineStr">
        <is>
          <t>I-17</t>
        </is>
      </c>
      <c r="B206" s="47" t="inlineStr">
        <is>
          <t>이벤트 룸 UI (선택 모달)</t>
        </is>
      </c>
      <c r="C206" s="47" t="inlineStr">
        <is>
          <t>UI·메뉴 (UI / Menus)</t>
        </is>
      </c>
      <c r="D206" s="47" t="inlineStr">
        <is>
          <t>M2-Q2</t>
        </is>
      </c>
      <c r="E206" s="47" t="n"/>
      <c r="F206" s="46" t="inlineStr">
        <is>
          <t>완료</t>
        </is>
      </c>
      <c r="G206" s="47" t="n"/>
      <c r="H206" s="47" t="inlineStr">
        <is>
          <t>M1완료</t>
        </is>
      </c>
    </row>
    <row r="207" ht="18" customHeight="1">
      <c r="A207" s="46" t="inlineStr">
        <is>
          <t>I-18</t>
        </is>
      </c>
      <c r="B207" s="47" t="inlineStr">
        <is>
          <t>상점 룸 UI (진열·재고·구매)</t>
        </is>
      </c>
      <c r="C207" s="47" t="inlineStr">
        <is>
          <t>UI·메뉴 (UI / Menus)</t>
        </is>
      </c>
      <c r="D207" s="47" t="inlineStr">
        <is>
          <t>M2-Q2</t>
        </is>
      </c>
      <c r="E207" s="47" t="n"/>
      <c r="F207" s="46" t="inlineStr">
        <is>
          <t>완료</t>
        </is>
      </c>
      <c r="G207" s="47" t="n"/>
      <c r="H207" s="47" t="inlineStr">
        <is>
          <t>M1완료</t>
        </is>
      </c>
    </row>
    <row r="208" ht="18" customHeight="1">
      <c r="A208" s="46" t="inlineStr">
        <is>
          <t>I-19</t>
        </is>
      </c>
      <c r="B208" s="47" t="inlineStr">
        <is>
          <t>유물 좌판 UI (감정·보유 그리드·장착 슬롯)</t>
        </is>
      </c>
      <c r="C208" s="47" t="inlineStr">
        <is>
          <t>UI·메뉴 (UI / Menus)</t>
        </is>
      </c>
      <c r="D208" s="47" t="inlineStr">
        <is>
          <t>M2-Q2</t>
        </is>
      </c>
      <c r="E208" s="47" t="n"/>
      <c r="F208" s="46" t="inlineStr">
        <is>
          <t>완료</t>
        </is>
      </c>
      <c r="G208" s="47" t="n"/>
      <c r="H208" s="47" t="inlineStr">
        <is>
          <t>M1완료</t>
        </is>
      </c>
    </row>
    <row r="209" ht="18" customHeight="1">
      <c r="A209" s="46" t="inlineStr">
        <is>
          <t>I-20</t>
        </is>
      </c>
      <c r="B209" s="47" t="inlineStr">
        <is>
          <t>노드 맵 UI</t>
        </is>
      </c>
      <c r="C209" s="47" t="inlineStr">
        <is>
          <t>UI·메뉴 (UI / Menus)</t>
        </is>
      </c>
      <c r="D209" s="47" t="inlineStr">
        <is>
          <t>M2-Q2</t>
        </is>
      </c>
      <c r="E209" s="47" t="n"/>
      <c r="F209" s="46" t="inlineStr">
        <is>
          <t>완료</t>
        </is>
      </c>
      <c r="G209" s="47" t="n"/>
      <c r="H209" s="47" t="inlineStr">
        <is>
          <t>M1완료</t>
        </is>
      </c>
    </row>
    <row r="210" ht="18" customHeight="1">
      <c r="A210" s="46" t="inlineStr">
        <is>
          <t>I-21</t>
        </is>
      </c>
      <c r="B210" s="47" t="inlineStr">
        <is>
          <t>드래프트 Layer 2 호버 상세</t>
        </is>
      </c>
      <c r="C210" s="47" t="inlineStr">
        <is>
          <t>UI·메뉴 (UI / Menus)</t>
        </is>
      </c>
      <c r="D210" s="47" t="inlineStr">
        <is>
          <t>M3-Q3</t>
        </is>
      </c>
      <c r="E210" s="47" t="inlineStr">
        <is>
          <t>Claude CLI / Codex 인수</t>
        </is>
      </c>
      <c r="F210" s="46" t="inlineStr">
        <is>
          <t>진행 중</t>
        </is>
      </c>
      <c r="G210" s="47" t="n"/>
      <c r="H210" s="47" t="inlineStr">
        <is>
          <t>호버·키보드/패드 포커스 상세 구현·정적 인수 · 사용자 검증대기 (2026-10-04)</t>
        </is>
      </c>
    </row>
    <row r="211" ht="18" customHeight="1">
      <c r="A211" s="46" t="inlineStr">
        <is>
          <t>I-22</t>
        </is>
      </c>
      <c r="B211" s="47" t="inlineStr">
        <is>
          <t>메타 상점 UI</t>
        </is>
      </c>
      <c r="C211" s="47" t="inlineStr">
        <is>
          <t>UI·메뉴 (UI / Menus)</t>
        </is>
      </c>
      <c r="D211" s="47" t="inlineStr">
        <is>
          <t>M3-Q3~M3-Q5</t>
        </is>
      </c>
      <c r="E211" s="47" t="n"/>
      <c r="F211" s="46" t="inlineStr">
        <is>
          <t>대기</t>
        </is>
      </c>
      <c r="G211" s="47" t="n"/>
      <c r="H211" s="47" t="n"/>
    </row>
    <row r="212" ht="18" customHeight="1">
      <c r="A212" s="46" t="inlineStr">
        <is>
          <t>I-23</t>
        </is>
      </c>
      <c r="B212" s="47" t="inlineStr">
        <is>
          <t>도감 UI (6탭: 폼·스킬·적·보스·유물·기록) + Codex 인게임 진입</t>
        </is>
      </c>
      <c r="C212" s="47" t="inlineStr">
        <is>
          <t>UI·메뉴 (UI / Menus)</t>
        </is>
      </c>
      <c r="D212" s="47" t="inlineStr">
        <is>
          <t>M2-Q2</t>
        </is>
      </c>
      <c r="E212" s="47" t="n"/>
      <c r="F212" s="46" t="inlineStr">
        <is>
          <t>완료</t>
        </is>
      </c>
      <c r="G212" s="47" t="n"/>
      <c r="H212" s="47" t="inlineStr">
        <is>
          <t>M1완료</t>
        </is>
      </c>
    </row>
    <row r="213" ht="18" customHeight="1">
      <c r="A213" s="46" t="inlineStr">
        <is>
          <t>I-24</t>
        </is>
      </c>
      <c r="B213" s="47" t="inlineStr">
        <is>
          <t>기본 키 변경·패드 완주 (데모 전 필수 · P12)</t>
        </is>
      </c>
      <c r="C213" s="47" t="inlineStr">
        <is>
          <t>UI·메뉴 (UI / Menus)</t>
        </is>
      </c>
      <c r="D213" s="47" t="inlineStr">
        <is>
          <t>M3-Q4</t>
        </is>
      </c>
      <c r="E213" s="47" t="inlineStr">
        <is>
          <t>Claude CLI / Codex 기록</t>
        </is>
      </c>
      <c r="F213" s="46" t="inlineStr">
        <is>
          <t>진행 중</t>
        </is>
      </c>
      <c r="G213" s="47" t="n"/>
      <c r="H213" s="47" t="inlineStr">
        <is>
          <t>패드 메뉴·NPC·상점·제단·폼/스킬교체·이벤트·방경로 정적 인수 · 사용자 검증대기 · 키 변경 UI/전체 완주 미완 (2026-10-06)</t>
        </is>
      </c>
    </row>
    <row r="214" ht="18" customHeight="1">
      <c r="A214" s="46" t="inlineStr">
        <is>
          <t>I-25</t>
        </is>
      </c>
      <c r="B214" s="47" t="inlineStr">
        <is>
          <t>업적 UI</t>
        </is>
      </c>
      <c r="C214" s="47" t="inlineStr">
        <is>
          <t>UI·메뉴 (UI / Menus)</t>
        </is>
      </c>
      <c r="D214" s="47" t="inlineStr">
        <is>
          <t>M3-Q5</t>
        </is>
      </c>
      <c r="E214" s="47" t="n"/>
      <c r="F214" s="46" t="inlineStr">
        <is>
          <t>대기</t>
        </is>
      </c>
      <c r="G214" s="47" t="n"/>
      <c r="H214" s="47" t="n"/>
    </row>
    <row r="215" ht="18" customHeight="1">
      <c r="A215" s="46" t="inlineStr">
        <is>
          <t>I-26</t>
        </is>
      </c>
      <c r="B215" s="47" t="inlineStr">
        <is>
          <t>난이도 선택 UI</t>
        </is>
      </c>
      <c r="C215" s="47" t="inlineStr">
        <is>
          <t>UI·메뉴 (UI / Menus)</t>
        </is>
      </c>
      <c r="D215" s="47" t="inlineStr">
        <is>
          <t>M4-Q8</t>
        </is>
      </c>
      <c r="E215" s="47" t="n"/>
      <c r="F215" s="46" t="inlineStr">
        <is>
          <t>대기</t>
        </is>
      </c>
      <c r="G215" s="47" t="n"/>
      <c r="H215" s="47" t="n"/>
    </row>
    <row r="216" ht="18" customHeight="1">
      <c r="A216" s="46" t="inlineStr">
        <is>
          <t>I-27</t>
        </is>
      </c>
      <c r="B216" s="47" t="inlineStr">
        <is>
          <t>기본 접근성 데모 전 / 추가 옵션 정식판 (P12·P19)</t>
        </is>
      </c>
      <c r="C216" s="47" t="inlineStr">
        <is>
          <t>UI·메뉴 (UI / Menus)</t>
        </is>
      </c>
      <c r="D216" s="47" t="inlineStr">
        <is>
          <t>M4-Q8</t>
        </is>
      </c>
      <c r="E216" s="47" t="n"/>
      <c r="F216" s="46" t="inlineStr">
        <is>
          <t>대기</t>
        </is>
      </c>
      <c r="G216" s="47" t="n"/>
      <c r="H216" s="47" t="n"/>
    </row>
    <row r="217" ht="18" customHeight="1">
      <c r="A217" s="46" t="inlineStr">
        <is>
          <t>I-28</t>
        </is>
      </c>
      <c r="B217" s="47" t="inlineStr">
        <is>
          <t>키 리바인딩 풀 (UI·Global 포함)</t>
        </is>
      </c>
      <c r="C217" s="47" t="inlineStr">
        <is>
          <t>UI·메뉴 (UI / Menus)</t>
        </is>
      </c>
      <c r="D217" s="47" t="inlineStr">
        <is>
          <t>M4-Q8</t>
        </is>
      </c>
      <c r="E217" s="47" t="n"/>
      <c r="F217" s="46" t="inlineStr">
        <is>
          <t>대기</t>
        </is>
      </c>
      <c r="G217" s="47" t="n"/>
      <c r="H217" s="47" t="n"/>
    </row>
    <row r="218" ht="18" customHeight="1">
      <c r="A218" s="46" t="inlineStr">
        <is>
          <t>I-29</t>
        </is>
      </c>
      <c r="B218" s="47" t="inlineStr">
        <is>
          <t>언어 선택 UI</t>
        </is>
      </c>
      <c r="C218" s="47" t="inlineStr">
        <is>
          <t>UI·메뉴 (UI / Menus)</t>
        </is>
      </c>
      <c r="D218" s="47" t="inlineStr">
        <is>
          <t>M2-Q2</t>
        </is>
      </c>
      <c r="E218" s="47" t="n"/>
      <c r="F218" s="46" t="inlineStr">
        <is>
          <t>완료</t>
        </is>
      </c>
      <c r="G218" s="47" t="n"/>
      <c r="H218" s="47" t="inlineStr">
        <is>
          <t>M1완료</t>
        </is>
      </c>
    </row>
    <row r="219" ht="18" customHeight="1">
      <c r="A219" s="46" t="inlineStr">
        <is>
          <t>I-30</t>
        </is>
      </c>
      <c r="B219" s="47" t="inlineStr">
        <is>
          <t>다중 엔딩 갤러리 UI</t>
        </is>
      </c>
      <c r="C219" s="47" t="inlineStr">
        <is>
          <t>UI·메뉴 (UI / Menus)</t>
        </is>
      </c>
      <c r="D219" s="47" t="inlineStr">
        <is>
          <t>M4-Q10</t>
        </is>
      </c>
      <c r="E219" s="47" t="n"/>
      <c r="F219" s="46" t="inlineStr">
        <is>
          <t>대기</t>
        </is>
      </c>
      <c r="G219" s="47" t="n"/>
      <c r="H219" s="47" t="n"/>
    </row>
    <row r="220" ht="18" customHeight="1">
      <c r="A220" s="46" t="inlineStr">
        <is>
          <t>I-31</t>
        </is>
      </c>
      <c r="B220" s="47" t="inlineStr">
        <is>
          <t>매주 도전 UI + 리더보드</t>
        </is>
      </c>
      <c r="C220" s="47" t="inlineStr">
        <is>
          <t>UI·메뉴 (UI / Menus)</t>
        </is>
      </c>
      <c r="D220" s="47" t="inlineStr">
        <is>
          <t>M4-Q10</t>
        </is>
      </c>
      <c r="E220" s="47" t="n"/>
      <c r="F220" s="46" t="inlineStr">
        <is>
          <t>대기</t>
        </is>
      </c>
      <c r="G220" s="47" t="n"/>
      <c r="H220" s="47" t="n"/>
    </row>
    <row r="221" ht="18" customHeight="1">
      <c r="A221" s="46" t="inlineStr">
        <is>
          <t>Y-01</t>
        </is>
      </c>
      <c r="B221" s="47" t="inlineStr">
        <is>
          <t>Audio System (AudioMixer + BGM/SFX Manager)</t>
        </is>
      </c>
      <c r="C221" s="47" t="inlineStr">
        <is>
          <t>시스템·인프라 (Systems &amp; Infra)</t>
        </is>
      </c>
      <c r="D221" s="47" t="inlineStr">
        <is>
          <t>M1잔여</t>
        </is>
      </c>
      <c r="E221" s="47" t="n"/>
      <c r="F221" s="46" t="inlineStr">
        <is>
          <t>완료</t>
        </is>
      </c>
      <c r="G221" s="47" t="n"/>
      <c r="H221" s="47" t="inlineStr">
        <is>
          <t>M1완료</t>
        </is>
      </c>
    </row>
    <row r="222" ht="18" customHeight="1">
      <c r="A222" s="46" t="inlineStr">
        <is>
          <t>Y-02</t>
        </is>
      </c>
      <c r="B222" s="47" t="inlineStr">
        <is>
          <t>Localization 뼈대 (KR/EN/JA CSV + StringKey)</t>
        </is>
      </c>
      <c r="C222" s="47" t="inlineStr">
        <is>
          <t>시스템·인프라 (Systems &amp; Infra)</t>
        </is>
      </c>
      <c r="D222" s="47" t="inlineStr">
        <is>
          <t>M1잔여</t>
        </is>
      </c>
      <c r="E222" s="47" t="n"/>
      <c r="F222" s="46" t="inlineStr">
        <is>
          <t>완료</t>
        </is>
      </c>
      <c r="G222" s="47" t="n"/>
      <c r="H222" s="47" t="inlineStr">
        <is>
          <t>M1완료</t>
        </is>
      </c>
    </row>
    <row r="223" ht="18" customHeight="1">
      <c r="A223" s="46" t="inlineStr">
        <is>
          <t>Y-03</t>
        </is>
      </c>
      <c r="B223" s="47" t="inlineStr">
        <is>
          <t>멀티스테이지 진행 (StageSequenceData + StageDirector)</t>
        </is>
      </c>
      <c r="C223" s="47" t="inlineStr">
        <is>
          <t>시스템·인프라 (Systems &amp; Infra)</t>
        </is>
      </c>
      <c r="D223" s="47" t="inlineStr">
        <is>
          <t>M1잔여</t>
        </is>
      </c>
      <c r="E223" s="47" t="n"/>
      <c r="F223" s="46" t="inlineStr">
        <is>
          <t>완료</t>
        </is>
      </c>
      <c r="G223" s="47" t="n"/>
      <c r="H223" s="47" t="inlineStr">
        <is>
          <t>M1완료</t>
        </is>
      </c>
    </row>
    <row r="224" ht="18" customHeight="1">
      <c r="A224" s="46" t="inlineStr">
        <is>
          <t>Y-04</t>
        </is>
      </c>
      <c r="B224" s="47" t="inlineStr">
        <is>
          <t>GAS 스킬 통합 (GenericAbility + Skill1/2 입력 + 쿨다운 HUD + 폼별 로드아웃 + 치트)</t>
        </is>
      </c>
      <c r="C224" s="47" t="inlineStr">
        <is>
          <t>시스템·인프라 (Systems &amp; Infra)</t>
        </is>
      </c>
      <c r="D224" s="47" t="inlineStr">
        <is>
          <t>M1잔여</t>
        </is>
      </c>
      <c r="E224" s="47" t="n"/>
      <c r="F224" s="46" t="inlineStr">
        <is>
          <t>완료</t>
        </is>
      </c>
      <c r="G224" s="47" t="n"/>
      <c r="H224" s="47" t="inlineStr">
        <is>
          <t>M1완료</t>
        </is>
      </c>
    </row>
    <row r="225" ht="18" customHeight="1">
      <c r="A225" s="46" t="inlineStr">
        <is>
          <t>Y-05</t>
        </is>
      </c>
      <c r="B225" s="47" t="inlineStr">
        <is>
          <t>씬 분리 + 허브 로비 (Bootstrap/Lobby/Run + NPC·대화)</t>
        </is>
      </c>
      <c r="C225" s="47" t="inlineStr">
        <is>
          <t>시스템·인프라 (Systems &amp; Infra)</t>
        </is>
      </c>
      <c r="D225" s="47" t="inlineStr">
        <is>
          <t>M2-Q1</t>
        </is>
      </c>
      <c r="E225" s="47" t="n"/>
      <c r="F225" s="46" t="inlineStr">
        <is>
          <t>완료</t>
        </is>
      </c>
      <c r="G225" s="47" t="n"/>
      <c r="H225" s="47" t="inlineStr">
        <is>
          <t>M1완료</t>
        </is>
      </c>
    </row>
    <row r="226" ht="18" customHeight="1">
      <c r="A226" s="46" t="inlineStr">
        <is>
          <t>Y-06</t>
        </is>
      </c>
      <c r="B226" s="47" t="inlineStr">
        <is>
          <t>허브 로비 H3-① 로딩 페이드 (씬 전환 연출)</t>
        </is>
      </c>
      <c r="C226" s="47" t="inlineStr">
        <is>
          <t>시스템·인프라 (Systems &amp; Infra)</t>
        </is>
      </c>
      <c r="D226" s="47" t="inlineStr">
        <is>
          <t>M2-Q1</t>
        </is>
      </c>
      <c r="E226" s="47" t="n"/>
      <c r="F226" s="46" t="inlineStr">
        <is>
          <t>완료</t>
        </is>
      </c>
      <c r="G226" s="47" t="n"/>
      <c r="H226" s="47" t="inlineStr">
        <is>
          <t>M1완료</t>
        </is>
      </c>
    </row>
    <row r="227" ht="18" customHeight="1">
      <c r="A227" s="46" t="inlineStr">
        <is>
          <t>Y-07</t>
        </is>
      </c>
      <c r="B227" s="47" t="inlineStr">
        <is>
          <t>허브 로비 H3-③ 스토리 서사 확장 (기록자 NPC)</t>
        </is>
      </c>
      <c r="C227" s="47" t="inlineStr">
        <is>
          <t>시스템·인프라 (Systems &amp; Infra)</t>
        </is>
      </c>
      <c r="D227" s="47" t="inlineStr">
        <is>
          <t>M2-Q1</t>
        </is>
      </c>
      <c r="E227" s="47" t="n"/>
      <c r="F227" s="46" t="inlineStr">
        <is>
          <t>완료</t>
        </is>
      </c>
      <c r="G227" s="47" t="n"/>
      <c r="H227" s="47" t="inlineStr">
        <is>
          <t>M1완료</t>
        </is>
      </c>
    </row>
    <row r="228" ht="18" customHeight="1">
      <c r="A228" s="46" t="inlineStr">
        <is>
          <t>Y-08</t>
        </is>
      </c>
      <c r="B228" s="47" t="inlineStr">
        <is>
          <t>로비 캐릭터 폼 애니메이션 (대기·달리기·점프·낙하 · LobbyAnimationBinder)</t>
        </is>
      </c>
      <c r="C228" s="47" t="inlineStr">
        <is>
          <t>시스템·인프라 (Systems &amp; Infra)</t>
        </is>
      </c>
      <c r="D228" s="47" t="inlineStr">
        <is>
          <t>M3-Q3</t>
        </is>
      </c>
      <c r="E228" s="47" t="n"/>
      <c r="F228" s="46" t="inlineStr">
        <is>
          <t>완료</t>
        </is>
      </c>
      <c r="G228" s="47" t="n"/>
      <c r="H228" s="47" t="inlineStr">
        <is>
          <t>M1완료</t>
        </is>
      </c>
    </row>
    <row r="229" ht="18" customHeight="1">
      <c r="A229" s="46" t="inlineStr">
        <is>
          <t>Y-09</t>
        </is>
      </c>
      <c r="B229" s="47" t="inlineStr">
        <is>
          <t>로비 환경 아트 (Stage1 세트 재사용 · 배경 3층 · 바닥/벽 타일 · 석관)</t>
        </is>
      </c>
      <c r="C229" s="47" t="inlineStr">
        <is>
          <t>시스템·인프라 (Systems &amp; Infra)</t>
        </is>
      </c>
      <c r="D229" s="47" t="inlineStr">
        <is>
          <t>M3-Q3</t>
        </is>
      </c>
      <c r="E229" s="47" t="n"/>
      <c r="F229" s="46" t="inlineStr">
        <is>
          <t>완료</t>
        </is>
      </c>
      <c r="G229" s="47" t="n"/>
      <c r="H229" s="47" t="inlineStr">
        <is>
          <t>M1완료</t>
        </is>
      </c>
    </row>
    <row r="230" ht="18" customHeight="1">
      <c r="A230" s="46" t="inlineStr">
        <is>
          <t>Y-10</t>
        </is>
      </c>
      <c r="B230" s="47" t="inlineStr">
        <is>
          <t>로비 오브젝트 그림 (포털 아치 · 제단 사당 · 유물 좌판 석관)</t>
        </is>
      </c>
      <c r="C230" s="47" t="inlineStr">
        <is>
          <t>시스템·인프라 (Systems &amp; Infra)</t>
        </is>
      </c>
      <c r="D230" s="47" t="inlineStr">
        <is>
          <t>M3-Q3</t>
        </is>
      </c>
      <c r="E230" s="47" t="n"/>
      <c r="F230" s="46" t="inlineStr">
        <is>
          <t>대기</t>
        </is>
      </c>
      <c r="G230" s="47" t="n"/>
      <c r="H230" s="47" t="n"/>
    </row>
    <row r="231" ht="18" customHeight="1">
      <c r="A231" s="46" t="inlineStr">
        <is>
          <t>Y-11</t>
        </is>
      </c>
      <c r="B231" s="47" t="inlineStr">
        <is>
          <t>로비 피난처 배경 교체 + 카메라 이동 경계</t>
        </is>
      </c>
      <c r="C231" s="47" t="inlineStr">
        <is>
          <t>시스템·인프라 (Systems &amp; Infra)</t>
        </is>
      </c>
      <c r="D231" s="47" t="inlineStr">
        <is>
          <t>M3-Q3</t>
        </is>
      </c>
      <c r="E231" s="47" t="n"/>
      <c r="F231" s="46" t="inlineStr">
        <is>
          <t>완료</t>
        </is>
      </c>
      <c r="G231" s="47" t="n"/>
      <c r="H231" s="47" t="inlineStr">
        <is>
          <t>M1완료</t>
        </is>
      </c>
    </row>
    <row r="232" ht="18" customHeight="1">
      <c r="A232" s="46" t="inlineStr">
        <is>
          <t>Y-12</t>
        </is>
      </c>
      <c r="B232" s="47" t="inlineStr">
        <is>
          <t>로비 NPC 5종 그림 (안내자·기록자·각인사·제단지기·유물 상인 · idle 4프레임 + 대화 일러스트)</t>
        </is>
      </c>
      <c r="C232" s="47" t="inlineStr">
        <is>
          <t>시스템·인프라 (Systems &amp; Infra)</t>
        </is>
      </c>
      <c r="D232" s="47" t="inlineStr">
        <is>
          <t>M3-Q3</t>
        </is>
      </c>
      <c r="E232" s="47" t="n"/>
      <c r="F232" s="46" t="inlineStr">
        <is>
          <t>완료</t>
        </is>
      </c>
      <c r="G232" s="47" t="n"/>
      <c r="H232" s="47" t="inlineStr">
        <is>
          <t>M1완료</t>
        </is>
      </c>
    </row>
    <row r="233" ht="18" customHeight="1">
      <c r="A233" s="46" t="inlineStr">
        <is>
          <t>Y-13</t>
        </is>
      </c>
      <c r="B233" s="47" t="inlineStr">
        <is>
          <t>로비·타이틀 UI 현지화 (타이틀·로비 메뉴·도감 틀·폼 선택·대화 힌트 → CSV)</t>
        </is>
      </c>
      <c r="C233" s="47" t="inlineStr">
        <is>
          <t>시스템·인프라 (Systems &amp; Infra)</t>
        </is>
      </c>
      <c r="D233" s="47" t="inlineStr">
        <is>
          <t>M3-Q3</t>
        </is>
      </c>
      <c r="E233" s="47" t="n"/>
      <c r="F233" s="46" t="inlineStr">
        <is>
          <t>완료</t>
        </is>
      </c>
      <c r="G233" s="47" t="n"/>
      <c r="H233" s="47" t="inlineStr">
        <is>
          <t>M1완료</t>
        </is>
      </c>
    </row>
    <row r="234" ht="18" customHeight="1">
      <c r="A234" s="46" t="inlineStr">
        <is>
          <t>Y-14</t>
        </is>
      </c>
      <c r="B234" s="47" t="inlineStr">
        <is>
          <t>폼 카탈로그 자동 로드 (FormCatalog + Resources 이전)</t>
        </is>
      </c>
      <c r="C234" s="47" t="inlineStr">
        <is>
          <t>시스템·인프라 (Systems &amp; Infra)</t>
        </is>
      </c>
      <c r="D234" s="47" t="inlineStr">
        <is>
          <t>M2-Q1</t>
        </is>
      </c>
      <c r="E234" s="47" t="n"/>
      <c r="F234" s="46" t="inlineStr">
        <is>
          <t>완료</t>
        </is>
      </c>
      <c r="G234" s="47" t="n"/>
      <c r="H234" s="47" t="inlineStr">
        <is>
          <t>M1완료</t>
        </is>
      </c>
    </row>
    <row r="235" ht="18" customHeight="1">
      <c r="A235" s="46" t="inlineStr">
        <is>
          <t>Y-15</t>
        </is>
      </c>
      <c r="B235" s="47" t="inlineStr">
        <is>
          <t>폼 보상 미보유 우선 추첨 + Stage2 보상 룸</t>
        </is>
      </c>
      <c r="C235" s="47" t="inlineStr">
        <is>
          <t>시스템·인프라 (Systems &amp; Infra)</t>
        </is>
      </c>
      <c r="D235" s="47" t="inlineStr">
        <is>
          <t>M2-Q1</t>
        </is>
      </c>
      <c r="E235" s="47" t="n"/>
      <c r="F235" s="46" t="inlineStr">
        <is>
          <t>완료</t>
        </is>
      </c>
      <c r="G235" s="47" t="n"/>
      <c r="H235" s="47" t="inlineStr">
        <is>
          <t>M1완료</t>
        </is>
      </c>
    </row>
    <row r="236" ht="18" customHeight="1">
      <c r="A236" s="46" t="inlineStr">
        <is>
          <t>Y-16</t>
        </is>
      </c>
      <c r="B236" s="47" t="inlineStr">
        <is>
          <t>폼 교체 상태 게이트 (피격·시전·사망 차단)</t>
        </is>
      </c>
      <c r="C236" s="47" t="inlineStr">
        <is>
          <t>시스템·인프라 (Systems &amp; Infra)</t>
        </is>
      </c>
      <c r="D236" s="47" t="inlineStr">
        <is>
          <t>M2-Q1</t>
        </is>
      </c>
      <c r="E236" s="47" t="n"/>
      <c r="F236" s="46" t="inlineStr">
        <is>
          <t>완료</t>
        </is>
      </c>
      <c r="G236" s="47" t="n"/>
      <c r="H236" s="47" t="inlineStr">
        <is>
          <t>M1완료</t>
        </is>
      </c>
    </row>
    <row r="237" ht="18" customHeight="1">
      <c r="A237" s="46" t="inlineStr">
        <is>
          <t>Y-17</t>
        </is>
      </c>
      <c r="B237" s="47" t="inlineStr">
        <is>
          <t>MetaSave 스키마 마이그레이션 v1</t>
        </is>
      </c>
      <c r="C237" s="47" t="inlineStr">
        <is>
          <t>시스템·인프라 (Systems &amp; Infra)</t>
        </is>
      </c>
      <c r="D237" s="47" t="inlineStr">
        <is>
          <t>M2-Q1</t>
        </is>
      </c>
      <c r="E237" s="47" t="n"/>
      <c r="F237" s="46" t="inlineStr">
        <is>
          <t>완료</t>
        </is>
      </c>
      <c r="G237" s="47" t="n"/>
      <c r="H237" s="47" t="inlineStr">
        <is>
          <t>M1완료</t>
        </is>
      </c>
    </row>
    <row r="238" ht="18" customHeight="1">
      <c r="A238" s="46" t="inlineStr">
        <is>
          <t>Y-18</t>
        </is>
      </c>
      <c r="B238" s="47" t="inlineStr">
        <is>
          <t>설정 저장처 통일 (언어 → MetaSave)</t>
        </is>
      </c>
      <c r="C238" s="47" t="inlineStr">
        <is>
          <t>시스템·인프라 (Systems &amp; Infra)</t>
        </is>
      </c>
      <c r="D238" s="47" t="inlineStr">
        <is>
          <t>M2-Q2</t>
        </is>
      </c>
      <c r="E238" s="47" t="n"/>
      <c r="F238" s="46" t="inlineStr">
        <is>
          <t>완료</t>
        </is>
      </c>
      <c r="G238" s="47" t="n"/>
      <c r="H238" s="47" t="inlineStr">
        <is>
          <t>M1완료</t>
        </is>
      </c>
    </row>
    <row r="239" ht="18" customHeight="1">
      <c r="A239" s="46" t="inlineStr">
        <is>
          <t>Y-19</t>
        </is>
      </c>
      <c r="B239" s="47" t="inlineStr">
        <is>
          <t>저장 안전성 (임시 파일 교체 · 직전 정상본 보존 · I/O 실패/손상 구분 · wave2)</t>
        </is>
      </c>
      <c r="C239" s="47" t="inlineStr">
        <is>
          <t>시스템·인프라 (Systems &amp; Infra)</t>
        </is>
      </c>
      <c r="D239" s="47" t="inlineStr">
        <is>
          <t>M3-Q3</t>
        </is>
      </c>
      <c r="E239" s="47" t="n"/>
      <c r="F239" s="46" t="inlineStr">
        <is>
          <t>완료</t>
        </is>
      </c>
      <c r="G239" s="47" t="n"/>
      <c r="H239" s="47" t="inlineStr">
        <is>
          <t>M1완료</t>
        </is>
      </c>
    </row>
    <row r="240" ht="18" customHeight="1">
      <c r="A240" s="46" t="inlineStr">
        <is>
          <t>Y-20</t>
        </is>
      </c>
      <c r="B240" s="47" t="inlineStr">
        <is>
          <t>저장 실패 알림 + 명시적 재시도 UX (보류 모달 · 우상단 표시 · 토스트 · SaveStatusOverlay)</t>
        </is>
      </c>
      <c r="C240" s="47" t="inlineStr">
        <is>
          <t>시스템·인프라 (Systems &amp; Infra)</t>
        </is>
      </c>
      <c r="D240" s="47" t="inlineStr">
        <is>
          <t>M3-Q3</t>
        </is>
      </c>
      <c r="E240" s="47" t="n"/>
      <c r="F240" s="46" t="inlineStr">
        <is>
          <t>완료</t>
        </is>
      </c>
      <c r="G240" s="47" t="n"/>
      <c r="H240" s="47" t="inlineStr">
        <is>
          <t>M1완료</t>
        </is>
      </c>
    </row>
    <row r="241" ht="18" customHeight="1">
      <c r="A241" s="46" t="inlineStr">
        <is>
          <t>Y-21</t>
        </is>
      </c>
      <c r="B241" s="47" t="inlineStr">
        <is>
          <t>저장 실패 모달 키보드·패드 조작 (포커스·ESC/B·입력 양보 9곳)</t>
        </is>
      </c>
      <c r="C241" s="47" t="inlineStr">
        <is>
          <t>시스템·인프라 (Systems &amp; Infra)</t>
        </is>
      </c>
      <c r="D241" s="47" t="inlineStr">
        <is>
          <t>M3-Q3</t>
        </is>
      </c>
      <c r="E241" s="47" t="n"/>
      <c r="F241" s="46" t="inlineStr">
        <is>
          <t>완료</t>
        </is>
      </c>
      <c r="G241" s="47" t="n"/>
      <c r="H241" s="47" t="inlineStr">
        <is>
          <t>M1완료</t>
        </is>
      </c>
    </row>
    <row r="242" ht="18" customHeight="1">
      <c r="A242" s="46" t="inlineStr">
        <is>
          <t>Y-22</t>
        </is>
      </c>
      <c r="B242" s="47" t="inlineStr">
        <is>
          <t>도감 본문·일시정지·런 요약·상호작용 문구 현지화 (55행)</t>
        </is>
      </c>
      <c r="C242" s="47" t="inlineStr">
        <is>
          <t>시스템·인프라 (Systems &amp; Infra)</t>
        </is>
      </c>
      <c r="D242" s="47" t="inlineStr">
        <is>
          <t>M3-Q3</t>
        </is>
      </c>
      <c r="E242" s="47" t="n"/>
      <c r="F242" s="46" t="inlineStr">
        <is>
          <t>완료</t>
        </is>
      </c>
      <c r="G242" s="47" t="n"/>
      <c r="H242" s="47" t="inlineStr">
        <is>
          <t>M1완료</t>
        </is>
      </c>
    </row>
    <row r="243" ht="18" customHeight="1">
      <c r="A243" s="46" t="inlineStr">
        <is>
          <t>Y-23</t>
        </is>
      </c>
      <c r="B243" s="47" t="inlineStr">
        <is>
          <t>런 포기/화면 전환 (정지 중 타이틀 · 포기 사실 이벤트 · 미등록 씬 복구 · wave2)</t>
        </is>
      </c>
      <c r="C243" s="47" t="inlineStr">
        <is>
          <t>시스템·인프라 (Systems &amp; Infra)</t>
        </is>
      </c>
      <c r="D243" s="47" t="inlineStr">
        <is>
          <t>M3-Q3</t>
        </is>
      </c>
      <c r="E243" s="47" t="n"/>
      <c r="F243" s="46" t="inlineStr">
        <is>
          <t>완료</t>
        </is>
      </c>
      <c r="G243" s="47" t="n"/>
      <c r="H243" s="47" t="inlineStr">
        <is>
          <t>M1완료</t>
        </is>
      </c>
    </row>
    <row r="244" ht="18" customHeight="1">
      <c r="A244" s="46" t="inlineStr">
        <is>
          <t>Y-24</t>
        </is>
      </c>
      <c r="B244" s="47" t="inlineStr">
        <is>
          <t>런 종료 계측 (사망·완주·포기·미종료 분류 · 실제 정산액 · 빌드 식별 · wave2)</t>
        </is>
      </c>
      <c r="C244" s="47" t="inlineStr">
        <is>
          <t>시스템·인프라 (Systems &amp; Infra)</t>
        </is>
      </c>
      <c r="D244" s="47" t="inlineStr">
        <is>
          <t>M3-Q3</t>
        </is>
      </c>
      <c r="E244" s="47" t="n"/>
      <c r="F244" s="46" t="inlineStr">
        <is>
          <t>완료</t>
        </is>
      </c>
      <c r="G244" s="47" t="n"/>
      <c r="H244" s="47" t="inlineStr">
        <is>
          <t>M1완료</t>
        </is>
      </c>
    </row>
    <row r="245" ht="18" customHeight="1">
      <c r="A245" s="46" t="inlineStr">
        <is>
          <t>Y-25</t>
        </is>
      </c>
      <c r="B245" s="47" t="inlineStr">
        <is>
          <t>EventBus 클래스 리팩터</t>
        </is>
      </c>
      <c r="C245" s="47" t="inlineStr">
        <is>
          <t>시스템·인프라 (Systems &amp; Infra)</t>
        </is>
      </c>
      <c r="D245" s="47" t="inlineStr">
        <is>
          <t>M2-Q1</t>
        </is>
      </c>
      <c r="E245" s="47" t="n"/>
      <c r="F245" s="46" t="inlineStr">
        <is>
          <t>대기</t>
        </is>
      </c>
      <c r="G245" s="47" t="n"/>
      <c r="H245" s="47" t="n"/>
    </row>
    <row r="246" ht="18" customHeight="1">
      <c r="A246" s="46" t="inlineStr">
        <is>
          <t>Y-26</t>
        </is>
      </c>
      <c r="B246" s="47" t="inlineStr">
        <is>
          <t>Cinemachine Impulse + PrimeTween</t>
        </is>
      </c>
      <c r="C246" s="47" t="inlineStr">
        <is>
          <t>시스템·인프라 (Systems &amp; Infra)</t>
        </is>
      </c>
      <c r="D246" s="47" t="inlineStr">
        <is>
          <t>M2-Q2</t>
        </is>
      </c>
      <c r="E246" s="47" t="n"/>
      <c r="F246" s="46" t="inlineStr">
        <is>
          <t>대기</t>
        </is>
      </c>
      <c r="G246" s="47" t="n"/>
      <c r="H246" s="47" t="n"/>
    </row>
    <row r="247" ht="18" customHeight="1">
      <c r="A247" s="46" t="inlineStr">
        <is>
          <t>Y-27</t>
        </is>
      </c>
      <c r="B247" s="47" t="inlineStr">
        <is>
          <t>Analytics P1 이벤트 확장</t>
        </is>
      </c>
      <c r="C247" s="47" t="inlineStr">
        <is>
          <t>시스템·인프라 (Systems &amp; Infra)</t>
        </is>
      </c>
      <c r="D247" s="47" t="inlineStr">
        <is>
          <t>M2-Q1</t>
        </is>
      </c>
      <c r="E247" s="47" t="n"/>
      <c r="F247" s="46" t="inlineStr">
        <is>
          <t>대기</t>
        </is>
      </c>
      <c r="G247" s="47" t="n"/>
      <c r="H247" s="47" t="n"/>
    </row>
    <row r="248" ht="18" customHeight="1">
      <c r="A248" s="46" t="inlineStr">
        <is>
          <t>Y-28</t>
        </is>
      </c>
      <c r="B248" s="47" t="inlineStr">
        <is>
          <t>밸런스 시트 v1 (CSV/Sheet)</t>
        </is>
      </c>
      <c r="C248" s="47" t="inlineStr">
        <is>
          <t>시스템·인프라 (Systems &amp; Infra)</t>
        </is>
      </c>
      <c r="D248" s="47" t="inlineStr">
        <is>
          <t>M2-Q2</t>
        </is>
      </c>
      <c r="E248" s="47" t="inlineStr">
        <is>
          <t>Claude CLI / Codex 기록</t>
        </is>
      </c>
      <c r="F248" s="46" t="inlineStr">
        <is>
          <t>진행 중</t>
        </is>
      </c>
      <c r="G248" s="47" t="n"/>
      <c r="H248" s="47" t="inlineStr">
        <is>
          <t>현재 에셋48개 CSV5개 초안 · 원본 해시/재읽기 대조 · 플레이어/메타/조우·실제 조정 미포함 (2026-10-04)</t>
        </is>
      </c>
    </row>
    <row r="249" ht="18" customHeight="1">
      <c r="A249" s="46" t="inlineStr">
        <is>
          <t>Y-29</t>
        </is>
      </c>
      <c r="B249" s="47" t="inlineStr">
        <is>
          <t>내부 플레이테스트 P-24 (9런+설문, 인프라 완료)</t>
        </is>
      </c>
      <c r="C249" s="47" t="inlineStr">
        <is>
          <t>시스템·인프라 (Systems &amp; Infra)</t>
        </is>
      </c>
      <c r="D249" s="47" t="inlineStr">
        <is>
          <t>M2-Q1</t>
        </is>
      </c>
      <c r="E249" s="47" t="n"/>
      <c r="F249" s="46" t="inlineStr">
        <is>
          <t>보류</t>
        </is>
      </c>
      <c r="G249" s="47" t="n"/>
      <c r="H249" s="47" t="inlineStr">
        <is>
          <t>기존 보류 유지. PG1은 별도 탐색 목표이며 기존 G1 기준을 대체하지 않음.</t>
        </is>
      </c>
    </row>
    <row r="250" ht="18" customHeight="1">
      <c r="A250" s="46" t="inlineStr">
        <is>
          <t>Y-30</t>
        </is>
      </c>
      <c r="B250" s="47" t="inlineStr">
        <is>
          <t>외부 플레이테스트 3회</t>
        </is>
      </c>
      <c r="C250" s="47" t="inlineStr">
        <is>
          <t>시스템·인프라 (Systems &amp; Infra)</t>
        </is>
      </c>
      <c r="D250" s="47" t="inlineStr">
        <is>
          <t>M2-Q2</t>
        </is>
      </c>
      <c r="E250" s="47" t="n"/>
      <c r="F250" s="46" t="inlineStr">
        <is>
          <t>대기</t>
        </is>
      </c>
      <c r="G250" s="47" t="n"/>
      <c r="H250" s="47" t="n"/>
    </row>
    <row r="251" ht="18" customHeight="1">
      <c r="A251" s="46" t="inlineStr">
        <is>
          <t>Y-31</t>
        </is>
      </c>
      <c r="B251" s="47" t="inlineStr">
        <is>
          <t>Addressables 도입</t>
        </is>
      </c>
      <c r="C251" s="47" t="inlineStr">
        <is>
          <t>시스템·인프라 (Systems &amp; Infra)</t>
        </is>
      </c>
      <c r="D251" s="47" t="inlineStr">
        <is>
          <t>M3-Q4</t>
        </is>
      </c>
      <c r="E251" s="47" t="n"/>
      <c r="F251" s="46" t="inlineStr">
        <is>
          <t>대기</t>
        </is>
      </c>
      <c r="G251" s="47" t="n"/>
      <c r="H251" s="47" t="n"/>
    </row>
    <row r="252" ht="18" customHeight="1">
      <c r="A252" s="46" t="inlineStr">
        <is>
          <t>Y-32</t>
        </is>
      </c>
      <c r="B252" s="47" t="inlineStr">
        <is>
          <t>Localization 1.5 (한·영)</t>
        </is>
      </c>
      <c r="C252" s="47" t="inlineStr">
        <is>
          <t>시스템·인프라 (Systems &amp; Infra)</t>
        </is>
      </c>
      <c r="D252" s="47" t="inlineStr">
        <is>
          <t>M3-Q4</t>
        </is>
      </c>
      <c r="E252" s="47" t="n"/>
      <c r="F252" s="46" t="inlineStr">
        <is>
          <t>대기</t>
        </is>
      </c>
      <c r="G252" s="47" t="n"/>
      <c r="H252" s="47" t="n"/>
    </row>
    <row r="253" ht="18" customHeight="1">
      <c r="A253" s="46" t="inlineStr">
        <is>
          <t>Y-33</t>
        </is>
      </c>
      <c r="B253" s="47" t="inlineStr">
        <is>
          <t>Steam 페이지 오픈</t>
        </is>
      </c>
      <c r="C253" s="47" t="inlineStr">
        <is>
          <t>시스템·인프라 (Systems &amp; Infra)</t>
        </is>
      </c>
      <c r="D253" s="47" t="inlineStr">
        <is>
          <t>M3-Q4</t>
        </is>
      </c>
      <c r="E253" s="47" t="n"/>
      <c r="F253" s="46" t="inlineStr">
        <is>
          <t>대기</t>
        </is>
      </c>
      <c r="G253" s="47" t="n"/>
      <c r="H253" s="47" t="n"/>
    </row>
    <row r="254" ht="18" customHeight="1">
      <c r="A254" s="46" t="inlineStr">
        <is>
          <t>Y-34</t>
        </is>
      </c>
      <c r="B254" s="47" t="inlineStr">
        <is>
          <t>Steam Cloud Save</t>
        </is>
      </c>
      <c r="C254" s="47" t="inlineStr">
        <is>
          <t>시스템·인프라 (Systems &amp; Infra)</t>
        </is>
      </c>
      <c r="D254" s="47" t="inlineStr">
        <is>
          <t>M3-Q5</t>
        </is>
      </c>
      <c r="E254" s="47" t="n"/>
      <c r="F254" s="46" t="inlineStr">
        <is>
          <t>대기</t>
        </is>
      </c>
      <c r="G254" s="47" t="n"/>
      <c r="H254" s="47" t="n"/>
    </row>
    <row r="255" ht="18" customHeight="1">
      <c r="A255" s="46" t="inlineStr">
        <is>
          <t>Y-35</t>
        </is>
      </c>
      <c r="B255" s="47" t="inlineStr">
        <is>
          <t>Steam Achievements API</t>
        </is>
      </c>
      <c r="C255" s="47" t="inlineStr">
        <is>
          <t>시스템·인프라 (Systems &amp; Infra)</t>
        </is>
      </c>
      <c r="D255" s="47" t="inlineStr">
        <is>
          <t>M3-Q5</t>
        </is>
      </c>
      <c r="E255" s="47" t="n"/>
      <c r="F255" s="46" t="inlineStr">
        <is>
          <t>대기</t>
        </is>
      </c>
      <c r="G255" s="47" t="n"/>
      <c r="H255" s="47" t="n"/>
    </row>
    <row r="256" ht="18" customHeight="1">
      <c r="A256" s="46" t="inlineStr">
        <is>
          <t>Y-36</t>
        </is>
      </c>
      <c r="B256" s="47" t="inlineStr">
        <is>
          <t>EA Steam 출시 (PG4 통과 후 · 2027 Q3 조건부)</t>
        </is>
      </c>
      <c r="C256" s="47" t="inlineStr">
        <is>
          <t>시스템·인프라 (Systems &amp; Infra)</t>
        </is>
      </c>
      <c r="D256" s="47" t="inlineStr">
        <is>
          <t>M3-Q5</t>
        </is>
      </c>
      <c r="E256" s="47" t="n"/>
      <c r="F256" s="46" t="inlineStr">
        <is>
          <t>대기</t>
        </is>
      </c>
      <c r="G256" s="47" t="n"/>
      <c r="H256" s="47" t="inlineStr">
        <is>
          <t>출시</t>
        </is>
      </c>
    </row>
    <row r="257" ht="18" customHeight="1">
      <c r="A257" s="46" t="inlineStr">
        <is>
          <t>Y-37</t>
        </is>
      </c>
      <c r="B257" s="47" t="inlineStr">
        <is>
          <t>출시 전 데모 행사 검토 (PG3 · 일정/참가 조건 별도 확인)</t>
        </is>
      </c>
      <c r="C257" s="47" t="inlineStr">
        <is>
          <t>시스템·인프라 (Systems &amp; Infra)</t>
        </is>
      </c>
      <c r="D257" s="47" t="inlineStr">
        <is>
          <t>M3-Q5</t>
        </is>
      </c>
      <c r="E257" s="47" t="n"/>
      <c r="F257" s="46" t="inlineStr">
        <is>
          <t>대기</t>
        </is>
      </c>
      <c r="G257" s="47" t="n"/>
      <c r="H257" s="47" t="n"/>
    </row>
    <row r="258" ht="18" customHeight="1">
      <c r="A258" s="46" t="inlineStr">
        <is>
          <t>Y-38</t>
        </is>
      </c>
      <c r="B258" s="47" t="inlineStr">
        <is>
          <t>1차 메이저 패치 (밸런스+스킬 5~10)</t>
        </is>
      </c>
      <c r="C258" s="47" t="inlineStr">
        <is>
          <t>시스템·인프라 (Systems &amp; Infra)</t>
        </is>
      </c>
      <c r="D258" s="47" t="inlineStr">
        <is>
          <t>M3-Q6</t>
        </is>
      </c>
      <c r="E258" s="47" t="n"/>
      <c r="F258" s="46" t="inlineStr">
        <is>
          <t>대기</t>
        </is>
      </c>
      <c r="G258" s="47" t="n"/>
      <c r="H258" s="47" t="n"/>
    </row>
    <row r="259" ht="18" customHeight="1">
      <c r="A259" s="46" t="inlineStr">
        <is>
          <t>Y-39</t>
        </is>
      </c>
      <c r="B259" s="47" t="inlineStr">
        <is>
          <t>난이도 티어 4단계 (Easy~Abyssal)</t>
        </is>
      </c>
      <c r="C259" s="47" t="inlineStr">
        <is>
          <t>시스템·인프라 (Systems &amp; Infra)</t>
        </is>
      </c>
      <c r="D259" s="47" t="inlineStr">
        <is>
          <t>M4-Q8</t>
        </is>
      </c>
      <c r="E259" s="47" t="n"/>
      <c r="F259" s="46" t="inlineStr">
        <is>
          <t>대기</t>
        </is>
      </c>
      <c r="G259" s="47" t="n"/>
      <c r="H259" s="47" t="n"/>
    </row>
    <row r="260" ht="18" customHeight="1">
      <c r="A260" s="46" t="inlineStr">
        <is>
          <t>Y-40</t>
        </is>
      </c>
      <c r="B260" s="47" t="inlineStr">
        <is>
          <t>기본 글자·대비·흔들림 데모 전 / 확장 접근성 후속</t>
        </is>
      </c>
      <c r="C260" s="47" t="inlineStr">
        <is>
          <t>시스템·인프라 (Systems &amp; Infra)</t>
        </is>
      </c>
      <c r="D260" s="47" t="inlineStr">
        <is>
          <t>M4-Q8</t>
        </is>
      </c>
      <c r="E260" s="47" t="n"/>
      <c r="F260" s="46" t="inlineStr">
        <is>
          <t>대기</t>
        </is>
      </c>
      <c r="G260" s="47" t="n"/>
      <c r="H260" s="47" t="n"/>
    </row>
    <row r="261" ht="18" customHeight="1">
      <c r="A261" s="46" t="inlineStr">
        <is>
          <t>Y-41</t>
        </is>
      </c>
      <c r="B261" s="47" t="inlineStr">
        <is>
          <t>Localization 4언어 (한·영·일·중)</t>
        </is>
      </c>
      <c r="C261" s="47" t="inlineStr">
        <is>
          <t>시스템·인프라 (Systems &amp; Infra)</t>
        </is>
      </c>
      <c r="D261" s="47" t="inlineStr">
        <is>
          <t>M4-Q9</t>
        </is>
      </c>
      <c r="E261" s="47" t="n"/>
      <c r="F261" s="46" t="inlineStr">
        <is>
          <t>대기</t>
        </is>
      </c>
      <c r="G261" s="47" t="n"/>
      <c r="H261" s="47" t="n"/>
    </row>
    <row r="262" ht="18" customHeight="1">
      <c r="A262" s="46" t="inlineStr">
        <is>
          <t>Y-42</t>
        </is>
      </c>
      <c r="B262" s="47" t="inlineStr">
        <is>
          <t>외주 QA 1차 패스</t>
        </is>
      </c>
      <c r="C262" s="47" t="inlineStr">
        <is>
          <t>시스템·인프라 (Systems &amp; Infra)</t>
        </is>
      </c>
      <c r="D262" s="47" t="inlineStr">
        <is>
          <t>M4-Q9</t>
        </is>
      </c>
      <c r="E262" s="47" t="n"/>
      <c r="F262" s="46" t="inlineStr">
        <is>
          <t>대기</t>
        </is>
      </c>
      <c r="G262" s="47" t="n"/>
      <c r="H262" s="47" t="n"/>
    </row>
    <row r="263" ht="18" customHeight="1">
      <c r="A263" s="46" t="inlineStr">
        <is>
          <t>Y-43</t>
        </is>
      </c>
      <c r="B263" s="47" t="inlineStr">
        <is>
          <t>매주 도전 모드 + 리더보드</t>
        </is>
      </c>
      <c r="C263" s="47" t="inlineStr">
        <is>
          <t>시스템·인프라 (Systems &amp; Infra)</t>
        </is>
      </c>
      <c r="D263" s="47" t="inlineStr">
        <is>
          <t>M4-Q10</t>
        </is>
      </c>
      <c r="E263" s="47" t="n"/>
      <c r="F263" s="46" t="inlineStr">
        <is>
          <t>대기</t>
        </is>
      </c>
      <c r="G263" s="47" t="n"/>
      <c r="H263" s="47" t="n"/>
    </row>
    <row r="264" ht="18" customHeight="1">
      <c r="A264" s="46" t="inlineStr">
        <is>
          <t>Y-44</t>
        </is>
      </c>
      <c r="B264" s="47" t="inlineStr">
        <is>
          <t>콘솔 포팅 사전 검토 (Switch/PS5)</t>
        </is>
      </c>
      <c r="C264" s="47" t="inlineStr">
        <is>
          <t>시스템·인프라 (Systems &amp; Infra)</t>
        </is>
      </c>
      <c r="D264" s="47" t="inlineStr">
        <is>
          <t>M4-Q10</t>
        </is>
      </c>
      <c r="E264" s="47" t="n"/>
      <c r="F264" s="46" t="inlineStr">
        <is>
          <t>대기</t>
        </is>
      </c>
      <c r="G264" s="47" t="n"/>
      <c r="H264" s="47" t="n"/>
    </row>
    <row r="265" ht="18" customHeight="1">
      <c r="A265" s="46" t="inlineStr">
        <is>
          <t>Y-45</t>
        </is>
      </c>
      <c r="B265" s="47" t="inlineStr">
        <is>
          <t>v1.0 정식 출시 (PG5 통과 후 · 2028 Q4 조건부)</t>
        </is>
      </c>
      <c r="C265" s="47" t="inlineStr">
        <is>
          <t>시스템·인프라 (Systems &amp; Infra)</t>
        </is>
      </c>
      <c r="D265" s="47" t="inlineStr">
        <is>
          <t>M4-Q10</t>
        </is>
      </c>
      <c r="E265" s="47" t="n"/>
      <c r="F265" s="46" t="inlineStr">
        <is>
          <t>대기</t>
        </is>
      </c>
      <c r="G265" s="47" t="n"/>
      <c r="H265" s="47" t="inlineStr">
        <is>
          <t>출시</t>
        </is>
      </c>
    </row>
  </sheetData>
  <mergeCells count="1">
    <mergeCell ref="A1:H1"/>
  </mergeCells>
  <dataValidations count="1">
    <dataValidation sqref="F3:F265" showDropDown="0" showInputMessage="0" showErrorMessage="0" allowBlank="1" type="list">
      <formula1>"대기,설계 완료,진행 중,완료,보류"</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s>
  <sheetData>
    <row r="1" ht="28" customHeight="1">
      <c r="A1" s="48" t="inlineStr">
        <is>
          <t>Abyss 기존 제작 목록 진척 (재미·출시 준비율 아님)</t>
        </is>
      </c>
    </row>
    <row r="3">
      <c r="A3" s="49" t="inlineStr">
        <is>
          <t>오늘</t>
        </is>
      </c>
      <c r="B3" s="50">
        <f>TODAY()</f>
        <v/>
      </c>
    </row>
    <row r="4">
      <c r="A4" s="49" t="inlineStr">
        <is>
          <t>총 콘텐츠 수</t>
        </is>
      </c>
      <c r="B4" t="n">
        <v>263</v>
      </c>
    </row>
    <row r="6" ht="20" customHeight="1">
      <c r="A6" s="51" t="inlineStr">
        <is>
          <t>상태</t>
        </is>
      </c>
      <c r="B6" s="51" t="inlineStr">
        <is>
          <t>개수</t>
        </is>
      </c>
      <c r="C6" s="51" t="inlineStr">
        <is>
          <t>비율</t>
        </is>
      </c>
      <c r="E6" s="75" t="inlineStr">
        <is>
          <t>추가 상태</t>
        </is>
      </c>
      <c r="F6" s="75" t="inlineStr">
        <is>
          <t>개수</t>
        </is>
      </c>
      <c r="G6" s="75" t="inlineStr">
        <is>
          <t>비율</t>
        </is>
      </c>
    </row>
    <row r="7">
      <c r="A7" s="52" t="inlineStr">
        <is>
          <t>완료</t>
        </is>
      </c>
      <c r="B7" s="53">
        <f>COUNTIF('작업관리'!F:F,"완료")</f>
        <v/>
      </c>
      <c r="C7" s="54">
        <f>B7/$B$4</f>
        <v/>
      </c>
      <c r="E7" t="inlineStr">
        <is>
          <t>설계 완료</t>
        </is>
      </c>
      <c r="F7">
        <f>COUNTIFS('작업관리'!$F$3:$F$265,E7)</f>
        <v/>
      </c>
      <c r="G7" s="76">
        <f>F7/$B$4</f>
        <v/>
      </c>
    </row>
    <row r="8">
      <c r="A8" s="55" t="inlineStr">
        <is>
          <t>진행 중</t>
        </is>
      </c>
      <c r="B8" s="53">
        <f>COUNTIF('작업관리'!F:F,"진행 중")</f>
        <v/>
      </c>
      <c r="C8" s="54">
        <f>B8/$B$4</f>
        <v/>
      </c>
      <c r="E8" t="inlineStr">
        <is>
          <t>보류</t>
        </is>
      </c>
      <c r="F8">
        <f>COUNTIFS('작업관리'!$F$3:$F$265,E8)</f>
        <v/>
      </c>
      <c r="G8" s="76">
        <f>F8/$B$4</f>
        <v/>
      </c>
    </row>
    <row r="9">
      <c r="A9" s="56" t="inlineStr">
        <is>
          <t>대기</t>
        </is>
      </c>
      <c r="B9" s="53">
        <f>COUNTIF('작업관리'!F:F,"대기")</f>
        <v/>
      </c>
      <c r="C9" s="54">
        <f>B9/$B$4</f>
        <v/>
      </c>
    </row>
    <row r="10">
      <c r="A10" s="57" t="inlineStr">
        <is>
          <t>딜레이</t>
        </is>
      </c>
      <c r="B10" s="53">
        <f>COUNTIF('Content Gantt'!Q:Q,"딜레이")</f>
        <v/>
      </c>
      <c r="C10" s="54">
        <f>B10/$B$4</f>
        <v/>
      </c>
      <c r="E10" t="inlineStr">
        <is>
          <t>딜레이는 상태와 중복 집계</t>
        </is>
      </c>
    </row>
    <row r="12" ht="34" customHeight="1">
      <c r="A12" s="51" t="inlineStr">
        <is>
          <t>카테고리</t>
        </is>
      </c>
      <c r="B12" s="51" t="inlineStr">
        <is>
          <t>총</t>
        </is>
      </c>
      <c r="C12" s="51" t="inlineStr">
        <is>
          <t>완료</t>
        </is>
      </c>
      <c r="D12" s="51" t="inlineStr">
        <is>
          <t>진행 중</t>
        </is>
      </c>
      <c r="E12" s="77" t="inlineStr">
        <is>
          <t>대기·설계·보류</t>
        </is>
      </c>
      <c r="F12" s="51" t="inlineStr">
        <is>
          <t>딜레이</t>
        </is>
      </c>
      <c r="G12" s="51" t="inlineStr">
        <is>
          <t>진척률</t>
        </is>
      </c>
    </row>
    <row r="13" ht="18" customHeight="1">
      <c r="A13" s="58" t="inlineStr">
        <is>
          <t>폼 (Forms) — 10종 목표</t>
        </is>
      </c>
      <c r="B13" s="53">
        <f>COUNTIFS('작업관리'!$C$3:$C$265,A13)</f>
        <v/>
      </c>
      <c r="C13" s="53">
        <f>COUNTIFS('작업관리'!$C$3:$C$265,A13,'작업관리'!$F$3:$F$265,"완료")</f>
        <v/>
      </c>
      <c r="D13" s="53">
        <f>COUNTIFS('작업관리'!$C$3:$C$265,A13,'작업관리'!$F$3:$F$265,"진행 중")</f>
        <v/>
      </c>
      <c r="E13" s="53">
        <f>B13-C13-D13</f>
        <v/>
      </c>
      <c r="F13" s="53" t="inlineStr">
        <is>
          <t>-</t>
        </is>
      </c>
      <c r="G13" s="59">
        <f>IF(B13=0,"",C13/B13)</f>
        <v/>
      </c>
    </row>
    <row r="14" ht="18" customHeight="1">
      <c r="A14" s="58" t="inlineStr">
        <is>
          <t>시너지 축 (Synergy Axes) — 6축</t>
        </is>
      </c>
      <c r="B14" s="53">
        <f>COUNTIFS('작업관리'!$C$3:$C$265,A14)</f>
        <v/>
      </c>
      <c r="C14" s="53">
        <f>COUNTIFS('작업관리'!$C$3:$C$265,A14,'작업관리'!$F$3:$F$265,"완료")</f>
        <v/>
      </c>
      <c r="D14" s="53">
        <f>COUNTIFS('작업관리'!$C$3:$C$265,A14,'작업관리'!$F$3:$F$265,"진행 중")</f>
        <v/>
      </c>
      <c r="E14" s="53">
        <f>B14-C14-D14</f>
        <v/>
      </c>
      <c r="F14" s="53" t="inlineStr">
        <is>
          <t>-</t>
        </is>
      </c>
      <c r="G14" s="59">
        <f>IF(B14=0,"",C14/B14)</f>
        <v/>
      </c>
    </row>
    <row r="15" ht="18" customHeight="1">
      <c r="A15" s="58" t="inlineStr">
        <is>
          <t>스킬 풀 (Skills) — 150개 목표</t>
        </is>
      </c>
      <c r="B15" s="53">
        <f>COUNTIFS('작업관리'!$C$3:$C$265,A15)</f>
        <v/>
      </c>
      <c r="C15" s="53">
        <f>COUNTIFS('작업관리'!$C$3:$C$265,A15,'작업관리'!$F$3:$F$265,"완료")</f>
        <v/>
      </c>
      <c r="D15" s="53">
        <f>COUNTIFS('작업관리'!$C$3:$C$265,A15,'작업관리'!$F$3:$F$265,"진행 중")</f>
        <v/>
      </c>
      <c r="E15" s="53">
        <f>B15-C15-D15</f>
        <v/>
      </c>
      <c r="F15" s="53" t="inlineStr">
        <is>
          <t>-</t>
        </is>
      </c>
      <c r="G15" s="59">
        <f>IF(B15=0,"",C15/B15)</f>
        <v/>
      </c>
    </row>
    <row r="16" ht="18" customHeight="1">
      <c r="A16" s="58" t="inlineStr">
        <is>
          <t>적 (Enemies) — 40~50종 목표</t>
        </is>
      </c>
      <c r="B16" s="53">
        <f>COUNTIFS('작업관리'!$C$3:$C$265,A16)</f>
        <v/>
      </c>
      <c r="C16" s="53">
        <f>COUNTIFS('작업관리'!$C$3:$C$265,A16,'작업관리'!$F$3:$F$265,"완료")</f>
        <v/>
      </c>
      <c r="D16" s="53">
        <f>COUNTIFS('작업관리'!$C$3:$C$265,A16,'작업관리'!$F$3:$F$265,"진행 중")</f>
        <v/>
      </c>
      <c r="E16" s="53">
        <f>B16-C16-D16</f>
        <v/>
      </c>
      <c r="F16" s="53" t="inlineStr">
        <is>
          <t>-</t>
        </is>
      </c>
      <c r="G16" s="59">
        <f>IF(B16=0,"",C16/B16)</f>
        <v/>
      </c>
    </row>
    <row r="17" ht="18" customHeight="1">
      <c r="A17" s="58" t="inlineStr">
        <is>
          <t>보스 (Bosses) — 10~12종 목표</t>
        </is>
      </c>
      <c r="B17" s="53">
        <f>COUNTIFS('작업관리'!$C$3:$C$265,A17)</f>
        <v/>
      </c>
      <c r="C17" s="53">
        <f>COUNTIFS('작업관리'!$C$3:$C$265,A17,'작업관리'!$F$3:$F$265,"완료")</f>
        <v/>
      </c>
      <c r="D17" s="53">
        <f>COUNTIFS('작업관리'!$C$3:$C$265,A17,'작업관리'!$F$3:$F$265,"진행 중")</f>
        <v/>
      </c>
      <c r="E17" s="53">
        <f>B17-C17-D17</f>
        <v/>
      </c>
      <c r="F17" s="53" t="inlineStr">
        <is>
          <t>-</t>
        </is>
      </c>
      <c r="G17" s="59">
        <f>IF(B17=0,"",C17/B17)</f>
        <v/>
      </c>
    </row>
    <row r="18" ht="18" customHeight="1">
      <c r="A18" s="58" t="inlineStr">
        <is>
          <t>스테이지·방 타입 (Stages &amp; Rooms)</t>
        </is>
      </c>
      <c r="B18" s="53">
        <f>COUNTIFS('작업관리'!$C$3:$C$265,A18)</f>
        <v/>
      </c>
      <c r="C18" s="53">
        <f>COUNTIFS('작업관리'!$C$3:$C$265,A18,'작업관리'!$F$3:$F$265,"완료")</f>
        <v/>
      </c>
      <c r="D18" s="53">
        <f>COUNTIFS('작업관리'!$C$3:$C$265,A18,'작업관리'!$F$3:$F$265,"진행 중")</f>
        <v/>
      </c>
      <c r="E18" s="53">
        <f>B18-C18-D18</f>
        <v/>
      </c>
      <c r="F18" s="53" t="inlineStr">
        <is>
          <t>-</t>
        </is>
      </c>
      <c r="G18" s="59">
        <f>IF(B18=0,"",C18/B18)</f>
        <v/>
      </c>
    </row>
    <row r="19" ht="18" customHeight="1">
      <c r="A19" s="58" t="inlineStr">
        <is>
          <t>메타 진행 (Meta Progression)</t>
        </is>
      </c>
      <c r="B19" s="53">
        <f>COUNTIFS('작업관리'!$C$3:$C$265,A19)</f>
        <v/>
      </c>
      <c r="C19" s="53">
        <f>COUNTIFS('작업관리'!$C$3:$C$265,A19,'작업관리'!$F$3:$F$265,"완료")</f>
        <v/>
      </c>
      <c r="D19" s="53">
        <f>COUNTIFS('작업관리'!$C$3:$C$265,A19,'작업관리'!$F$3:$F$265,"진행 중")</f>
        <v/>
      </c>
      <c r="E19" s="53">
        <f>B19-C19-D19</f>
        <v/>
      </c>
      <c r="F19" s="53" t="inlineStr">
        <is>
          <t>-</t>
        </is>
      </c>
      <c r="G19" s="59">
        <f>IF(B19=0,"",C19/B19)</f>
        <v/>
      </c>
    </row>
    <row r="20" ht="18" customHeight="1">
      <c r="A20" s="58" t="inlineStr">
        <is>
          <t>스토리·서사 (Story &amp; Narrative)</t>
        </is>
      </c>
      <c r="B20" s="53">
        <f>COUNTIFS('작업관리'!$C$3:$C$265,A20)</f>
        <v/>
      </c>
      <c r="C20" s="53">
        <f>COUNTIFS('작업관리'!$C$3:$C$265,A20,'작업관리'!$F$3:$F$265,"완료")</f>
        <v/>
      </c>
      <c r="D20" s="53">
        <f>COUNTIFS('작업관리'!$C$3:$C$265,A20,'작업관리'!$F$3:$F$265,"진행 중")</f>
        <v/>
      </c>
      <c r="E20" s="53">
        <f>B20-C20-D20</f>
        <v/>
      </c>
      <c r="F20" s="53" t="inlineStr">
        <is>
          <t>-</t>
        </is>
      </c>
      <c r="G20" s="59">
        <f>IF(B20=0,"",C20/B20)</f>
        <v/>
      </c>
    </row>
    <row r="21" ht="18" customHeight="1">
      <c r="A21" s="58" t="inlineStr">
        <is>
          <t>사운드 (Audio)</t>
        </is>
      </c>
      <c r="B21" s="53">
        <f>COUNTIFS('작업관리'!$C$3:$C$265,A21)</f>
        <v/>
      </c>
      <c r="C21" s="53">
        <f>COUNTIFS('작업관리'!$C$3:$C$265,A21,'작업관리'!$F$3:$F$265,"완료")</f>
        <v/>
      </c>
      <c r="D21" s="53">
        <f>COUNTIFS('작업관리'!$C$3:$C$265,A21,'작업관리'!$F$3:$F$265,"진행 중")</f>
        <v/>
      </c>
      <c r="E21" s="53">
        <f>B21-C21-D21</f>
        <v/>
      </c>
      <c r="F21" s="53" t="inlineStr">
        <is>
          <t>-</t>
        </is>
      </c>
      <c r="G21" s="59">
        <f>IF(B21=0,"",C21/B21)</f>
        <v/>
      </c>
    </row>
    <row r="22" ht="18" customHeight="1">
      <c r="A22" s="58" t="inlineStr">
        <is>
          <t>UI·메뉴 (UI / Menus)</t>
        </is>
      </c>
      <c r="B22" s="53">
        <f>COUNTIFS('작업관리'!$C$3:$C$265,A22)</f>
        <v/>
      </c>
      <c r="C22" s="53">
        <f>COUNTIFS('작업관리'!$C$3:$C$265,A22,'작업관리'!$F$3:$F$265,"완료")</f>
        <v/>
      </c>
      <c r="D22" s="53">
        <f>COUNTIFS('작업관리'!$C$3:$C$265,A22,'작업관리'!$F$3:$F$265,"진행 중")</f>
        <v/>
      </c>
      <c r="E22" s="53">
        <f>B22-C22-D22</f>
        <v/>
      </c>
      <c r="F22" s="53" t="inlineStr">
        <is>
          <t>-</t>
        </is>
      </c>
      <c r="G22" s="59">
        <f>IF(B22=0,"",C22/B22)</f>
        <v/>
      </c>
    </row>
    <row r="23" ht="18" customHeight="1">
      <c r="A23" s="58" t="inlineStr">
        <is>
          <t>시스템·인프라 (Systems &amp; Infra)</t>
        </is>
      </c>
      <c r="B23" s="53">
        <f>COUNTIFS('작업관리'!$C$3:$C$265,A23)</f>
        <v/>
      </c>
      <c r="C23" s="53">
        <f>COUNTIFS('작업관리'!$C$3:$C$265,A23,'작업관리'!$F$3:$F$265,"완료")</f>
        <v/>
      </c>
      <c r="D23" s="53">
        <f>COUNTIFS('작업관리'!$C$3:$C$265,A23,'작업관리'!$F$3:$F$265,"진행 중")</f>
        <v/>
      </c>
      <c r="E23" s="53">
        <f>B23-C23-D23</f>
        <v/>
      </c>
      <c r="F23" s="53" t="inlineStr">
        <is>
          <t>-</t>
        </is>
      </c>
      <c r="G23" s="59">
        <f>IF(B23=0,"",C23/B23)</f>
        <v/>
      </c>
    </row>
    <row r="26" ht="20" customHeight="1">
      <c r="A26" s="60" t="inlineStr">
        <is>
          <t>사용법:</t>
        </is>
      </c>
    </row>
    <row r="27">
      <c r="A27" s="61" t="inlineStr">
        <is>
          <t>- 작업관리 시트에 작업자·상태·완료일시를 입력하면 본 시트와 Content Gantt가 자동 갱신됩니다.</t>
        </is>
      </c>
    </row>
    <row r="28">
      <c r="A28" s="61" t="inlineStr">
        <is>
          <t>- 오늘 날짜(B3)는 엑셀을 열 때마다 자동 업데이트됩니다.</t>
        </is>
      </c>
    </row>
  </sheetData>
  <mergeCells count="3">
    <mergeCell ref="A1:C1"/>
    <mergeCell ref="A26:G26"/>
    <mergeCell ref="E10:G10"/>
  </mergeCells>
  <hyperlinks>
    <hyperlink xmlns:r="http://schemas.openxmlformats.org/officeDocument/2006/relationships" ref="A13" r:id="rId1"/>
    <hyperlink xmlns:r="http://schemas.openxmlformats.org/officeDocument/2006/relationships" ref="A14" r:id="rId2"/>
    <hyperlink xmlns:r="http://schemas.openxmlformats.org/officeDocument/2006/relationships" ref="A15" r:id="rId3"/>
    <hyperlink xmlns:r="http://schemas.openxmlformats.org/officeDocument/2006/relationships" ref="A16" r:id="rId4"/>
    <hyperlink xmlns:r="http://schemas.openxmlformats.org/officeDocument/2006/relationships" ref="A17" r:id="rId5"/>
    <hyperlink xmlns:r="http://schemas.openxmlformats.org/officeDocument/2006/relationships" ref="A18" r:id="rId6"/>
    <hyperlink xmlns:r="http://schemas.openxmlformats.org/officeDocument/2006/relationships" ref="A19" r:id="rId7"/>
    <hyperlink xmlns:r="http://schemas.openxmlformats.org/officeDocument/2006/relationships" ref="A20" r:id="rId8"/>
    <hyperlink xmlns:r="http://schemas.openxmlformats.org/officeDocument/2006/relationships" ref="A21" r:id="rId9"/>
    <hyperlink xmlns:r="http://schemas.openxmlformats.org/officeDocument/2006/relationships" ref="A22" r:id="rId10"/>
    <hyperlink xmlns:r="http://schemas.openxmlformats.org/officeDocument/2006/relationships" ref="A23" r:id="rId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4" customWidth="1" min="1" max="1"/>
    <col width="70" customWidth="1" min="2" max="2"/>
  </cols>
  <sheetData>
    <row r="1">
      <c r="A1" s="62" t="inlineStr">
        <is>
          <t>표기법 안내</t>
        </is>
      </c>
    </row>
    <row r="2">
      <c r="A2" s="63" t="inlineStr">
        <is>
          <t>M (Milestone)</t>
        </is>
      </c>
      <c r="B2" s="64" t="inlineStr">
        <is>
          <t>개발 단계 — M1 Prototype / M2 Alpha / M3 Early Access / M4 v1.0</t>
        </is>
      </c>
    </row>
    <row r="3">
      <c r="A3" s="63" t="inlineStr">
        <is>
          <t>Q (Quarter)</t>
        </is>
      </c>
      <c r="B3" s="64" t="inlineStr">
        <is>
          <t>해당 마일스톤 내 분기 (3개월 단위). Q1부터 일련번호로 누적</t>
        </is>
      </c>
    </row>
    <row r="4">
      <c r="A4" s="63" t="inlineStr">
        <is>
          <t>예: M2-Q1</t>
        </is>
      </c>
      <c r="B4" s="64" t="inlineStr">
        <is>
          <t>Alpha 단계의 첫 번째 분기 (2026 Q3, 2026-07~09)</t>
        </is>
      </c>
    </row>
    <row r="5">
      <c r="A5" s="63" t="inlineStr">
        <is>
          <t>예: M3-Q5</t>
        </is>
      </c>
      <c r="B5" s="64" t="inlineStr">
        <is>
          <t>Early Access 단계의 5번째 분기 (2027 Q3, EA 출시 시점)</t>
        </is>
      </c>
    </row>
    <row r="7">
      <c r="A7" s="62" t="inlineStr">
        <is>
          <t>기간별 색상</t>
        </is>
      </c>
    </row>
    <row r="9">
      <c r="A9" s="49" t="inlineStr">
        <is>
          <t>기간</t>
        </is>
      </c>
      <c r="B9" s="49" t="inlineStr">
        <is>
          <t>설명</t>
        </is>
      </c>
    </row>
    <row r="10">
      <c r="A10" s="65" t="inlineStr">
        <is>
          <t>M1잔여</t>
        </is>
      </c>
      <c r="B10" t="inlineStr">
        <is>
          <t>프로토 잔여 (P-23/24/25) — 회색</t>
        </is>
      </c>
    </row>
    <row r="11">
      <c r="A11" s="66" t="inlineStr">
        <is>
          <t>M2-Q1</t>
        </is>
      </c>
      <c r="B11" t="inlineStr">
        <is>
          <t>Alpha Q1 (2026 Q3) — 콘텐츠 확장 기반</t>
        </is>
      </c>
    </row>
    <row r="12">
      <c r="A12" s="67" t="inlineStr">
        <is>
          <t>M2-Q2</t>
        </is>
      </c>
      <c r="B12" t="inlineStr">
        <is>
          <t>Alpha Q2 (2026 Q4) — 알파 통합·외부 플레이테스트</t>
        </is>
      </c>
    </row>
    <row r="13">
      <c r="A13" s="68" t="inlineStr">
        <is>
          <t>M3-Q3</t>
        </is>
      </c>
      <c r="B13" t="inlineStr">
        <is>
          <t>EA Q3 (2027 Q1) — 콘텐츠 확장</t>
        </is>
      </c>
    </row>
    <row r="14">
      <c r="A14" s="69" t="inlineStr">
        <is>
          <t>M3-Q4</t>
        </is>
      </c>
      <c r="B14" t="inlineStr">
        <is>
          <t>EA Q4 (2027 Q2) — EA 빌드 준비 + Steam 페이지</t>
        </is>
      </c>
    </row>
    <row r="15">
      <c r="A15" s="70" t="inlineStr">
        <is>
          <t>M3-Q5</t>
        </is>
      </c>
      <c r="B15" t="inlineStr">
        <is>
          <t>★ EA 출시 (2027 Q3)</t>
        </is>
      </c>
    </row>
    <row r="16">
      <c r="A16" s="69" t="inlineStr">
        <is>
          <t>M3-Q6</t>
        </is>
      </c>
      <c r="B16" t="inlineStr">
        <is>
          <t>EA 운영·1차 메이저 패치 (2027 Q4)</t>
        </is>
      </c>
    </row>
    <row r="17">
      <c r="A17" s="71" t="inlineStr">
        <is>
          <t>M4-Q7</t>
        </is>
      </c>
      <c r="B17" t="inlineStr">
        <is>
          <t>v1.0 Q1 (2028 Q1) — 콘텐츠 풀스택</t>
        </is>
      </c>
    </row>
    <row r="18">
      <c r="A18" s="71" t="inlineStr">
        <is>
          <t>M4-Q8</t>
        </is>
      </c>
      <c r="B18" t="inlineStr">
        <is>
          <t>v1.0 Q2 (2028 Q2) — 난이도·접근성</t>
        </is>
      </c>
    </row>
    <row r="19">
      <c r="A19" s="72" t="inlineStr">
        <is>
          <t>M4-Q9</t>
        </is>
      </c>
      <c r="B19" t="inlineStr">
        <is>
          <t>v1.0 Q3 (2028 Q3) — 현지화·QA</t>
        </is>
      </c>
    </row>
    <row r="20">
      <c r="A20" s="73" t="inlineStr">
        <is>
          <t>M4-Q10</t>
        </is>
      </c>
      <c r="B20" t="inlineStr">
        <is>
          <t>★ v1.0 정식 출시 (2028 Q4)</t>
        </is>
      </c>
    </row>
    <row r="21">
      <c r="A21" s="74" t="inlineStr">
        <is>
          <t>히든</t>
        </is>
      </c>
      <c r="B21" t="inlineStr">
        <is>
          <t>히든 콘텐츠 (진엔딩·도전 모드)</t>
        </is>
      </c>
    </row>
    <row r="23" ht="48" customHeight="1">
      <c r="A23" t="inlineStr">
        <is>
          <t>현재 실행 순서</t>
        </is>
      </c>
      <c r="B23" s="78" t="inlineStr">
        <is>
          <t>목표 간트의 선행 조건을 우선한다. 기존 Content Gantt의 분기는 과거 배정과 장기 후보다.</t>
        </is>
      </c>
    </row>
    <row r="24" ht="48" customHeight="1">
      <c r="A24" t="inlineStr">
        <is>
          <t>완료의 의미</t>
        </is>
      </c>
      <c r="B24" s="78" t="inlineStr">
        <is>
          <t>기존 완료 기록은 보존한다. 목표 상세의 산출물 완료와 사용자 통과·근거를 별도로 입력한다.</t>
        </is>
      </c>
    </row>
    <row r="25" ht="48" customHeight="1">
      <c r="A25" t="inlineStr">
        <is>
          <t>출시 창</t>
        </is>
      </c>
      <c r="B25" s="78" t="inlineStr">
        <is>
          <t>2027 Q3 EA / 2028 Q4 정식판은 조건부 목표다. PG4 / PG5 미통과 시 재산정한다.</t>
        </is>
      </c>
    </row>
    <row r="26" ht="48" customHeight="1">
      <c r="A26" t="inlineStr">
        <is>
          <t>숫자 기준</t>
        </is>
      </c>
      <c r="B26" s="78" t="inlineStr">
        <is>
          <t>신규 관문 기준은 내부 탐색 목표다. 업계 평균·판매 예측·기존 G1의 변경이 아니다.</t>
        </is>
      </c>
    </row>
  </sheetData>
  <mergeCells count="2">
    <mergeCell ref="A1:B1"/>
    <mergeCell ref="A7:B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48" customWidth="1" min="2" max="2"/>
    <col width="16" customWidth="1" min="3" max="3"/>
    <col width="14" customWidth="1" min="4" max="4"/>
    <col width="20" customWidth="1" min="5" max="5"/>
    <col width="65" customWidth="1" min="6" max="6"/>
    <col width="48" customWidth="1" min="7" max="7"/>
    <col width="45" customWidth="1" min="8" max="8"/>
    <col width="50" customWidth="1" min="9" max="9"/>
  </cols>
  <sheetData>
    <row r="1">
      <c r="A1" t="inlineStr">
        <is>
          <t>Claude 세션 기록 — 종료와 검증 완료는 별도 상태</t>
        </is>
      </c>
    </row>
    <row r="2">
      <c r="A2" t="inlineStr">
        <is>
          <t>원본: Docs/production/agent-board/records.json · 검증대기는 작업판에서 확인</t>
        </is>
      </c>
    </row>
    <row r="3">
      <c r="A3" s="93" t="inlineStr">
        <is>
          <t>세션 ID</t>
        </is>
      </c>
      <c r="B3" s="93" t="inlineStr">
        <is>
          <t>작업명</t>
        </is>
      </c>
      <c r="C3" s="93" t="inlineStr">
        <is>
          <t>작업판 상태</t>
        </is>
      </c>
      <c r="D3" s="93" t="inlineStr">
        <is>
          <t>Claude 상태</t>
        </is>
      </c>
      <c r="E3" s="93" t="inlineStr">
        <is>
          <t>시작(KST)</t>
        </is>
      </c>
      <c r="F3" s="93" t="inlineStr">
        <is>
          <t>결과</t>
        </is>
      </c>
      <c r="G3" s="93" t="inlineStr">
        <is>
          <t>검증 근거</t>
        </is>
      </c>
      <c r="H3" s="93" t="inlineStr">
        <is>
          <t>작업경로</t>
        </is>
      </c>
      <c r="I3" s="93" t="inlineStr">
        <is>
          <t>대화경로</t>
        </is>
      </c>
    </row>
    <row r="4" ht="75" customHeight="1">
      <c r="A4" s="94" t="inlineStr">
        <is>
          <t>91b30430</t>
        </is>
      </c>
      <c r="B4" s="94" t="inlineStr">
        <is>
          <t>Abyss-A 런 안정화 검수</t>
        </is>
      </c>
      <c r="C4" s="95" t="inlineStr">
        <is>
          <t>Completed</t>
        </is>
      </c>
      <c r="D4" s="94" t="inlineStr">
        <is>
          <t>failed</t>
        </is>
      </c>
      <c r="E4" s="94" t="inlineStr">
        <is>
          <t>2026-09-22 18:59</t>
        </is>
      </c>
      <c r="F4" s="94" t="inlineStr">
        <is>
          <t>exit 1 before init — Error: Invalid MCP configuration: MCP config file not found: D:\JaeChang\Abyss\Read D:\JaeChang\Abyss\Docs\production\claude-run-20260922\A-prompt.md and carry out that assignment now.</t>
        </is>
      </c>
      <c r="G4" s="94" t="inlineStr">
        <is>
          <t>중단·중복 세션 종결 · 2026-09-30 사용자: 다음 작업 전에 검증을 수행했다고 확인. 이전 중단/실패/중복 세션은 후속 작업으로 이어져 종결. 해당 세션 자체의 테스트 성공을 의미하지 않음.</t>
        </is>
      </c>
      <c r="H4" s="94" t="inlineStr">
        <is>
          <t>D:\JaeChang\Abyss</t>
        </is>
      </c>
      <c r="I4" s="94" t="inlineStr"/>
    </row>
    <row r="5" ht="75" customHeight="1">
      <c r="A5" s="94" t="inlineStr">
        <is>
          <t>8a696e23</t>
        </is>
      </c>
      <c r="B5" s="94" t="inlineStr">
        <is>
          <t>Abyss-A 런 안정화 검수</t>
        </is>
      </c>
      <c r="C5" s="95" t="inlineStr">
        <is>
          <t>Completed</t>
        </is>
      </c>
      <c r="D5" s="94" t="inlineStr">
        <is>
          <t>done</t>
        </is>
      </c>
      <c r="E5" s="94" t="inlineStr">
        <is>
          <t>2026-09-22 23:37</t>
        </is>
      </c>
      <c r="F5" s="94" t="inlineStr">
        <is>
          <t>kill</t>
        </is>
      </c>
      <c r="G5"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5" s="94" t="inlineStr">
        <is>
          <t>D:\JaeChang\Abyss</t>
        </is>
      </c>
      <c r="I5" s="94" t="inlineStr">
        <is>
          <t>C:\Users\JaeChang\.claude\projects\D--JaeChang-Abyss\8a696e23-fd33-41bb-994a-a5d63e8096a6.jsonl</t>
        </is>
      </c>
    </row>
    <row r="6" ht="75" customHeight="1">
      <c r="A6" s="94" t="inlineStr">
        <is>
          <t>03c97093</t>
        </is>
      </c>
      <c r="B6" s="94" t="inlineStr">
        <is>
          <t>Abyss-B 저장 안전성 구현</t>
        </is>
      </c>
      <c r="C6" s="95" t="inlineStr">
        <is>
          <t>Completed</t>
        </is>
      </c>
      <c r="D6" s="94" t="inlineStr">
        <is>
          <t>done</t>
        </is>
      </c>
      <c r="E6" s="94" t="inlineStr">
        <is>
          <t>2026-09-22 23:39</t>
        </is>
      </c>
      <c r="F6" s="94" t="inlineStr">
        <is>
          <t>Save-safety refactor complete: atomic writes via .tmp, recovery via .prev, 18 new tests drafted in SaveSystemSafeWriteTests.cs, PlayMode smoke tests +8. Awaiting C's compile/test run and PlayModeSaveGuard audit.</t>
        </is>
      </c>
      <c r="G6"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6" s="94" t="inlineStr">
        <is>
          <t>D:\JaeChang\Abyss-agent-workspaces\save-safety-20260922</t>
        </is>
      </c>
      <c r="I6" s="94" t="inlineStr">
        <is>
          <t>C:\Users\JaeChang\.claude\projects\D--JaeChang-Abyss-agent-workspaces-save-safety-20260922\03c97093-9d66-443c-988b-252aa324532b.jsonl</t>
        </is>
      </c>
    </row>
    <row r="7" ht="75" customHeight="1">
      <c r="A7" s="94" t="inlineStr">
        <is>
          <t>b4c3fd74</t>
        </is>
      </c>
      <c r="B7" s="94" t="inlineStr">
        <is>
          <t>Abyss-C Unity 통합 인수</t>
        </is>
      </c>
      <c r="C7" s="95" t="inlineStr">
        <is>
          <t>Completed</t>
        </is>
      </c>
      <c r="D7" s="94" t="inlineStr">
        <is>
          <t>stopped</t>
        </is>
      </c>
      <c r="E7" s="94" t="inlineStr">
        <is>
          <t>2026-09-22 23:39</t>
        </is>
      </c>
      <c r="F7" s="94" t="inlineStr">
        <is>
          <t>stopped</t>
        </is>
      </c>
      <c r="G7" s="94" t="inlineStr">
        <is>
          <t>중단·중복 세션 종결 · 2026-09-30 사용자: 다음 작업 전에 검증을 수행했다고 확인. 이전 중단/실패/중복 세션은 후속 작업으로 이어져 종결. 해당 세션 자체의 테스트 성공을 의미하지 않음.</t>
        </is>
      </c>
      <c r="H7" s="94" t="inlineStr">
        <is>
          <t>D:\JaeChang\Abyss</t>
        </is>
      </c>
      <c r="I7" s="94" t="inlineStr">
        <is>
          <t>C:\Users\JaeChang\.claude\projects\D--JaeChang-Abyss\b4c3fd74-5412-4ffd-af09-c069267a02b5.jsonl</t>
        </is>
      </c>
    </row>
    <row r="8" ht="75" customHeight="1">
      <c r="A8" s="94" t="inlineStr">
        <is>
          <t>5c884d9f</t>
        </is>
      </c>
      <c r="B8" s="94" t="inlineStr">
        <is>
          <t>Abyss-D 콘텐츠 PD</t>
        </is>
      </c>
      <c r="C8" s="95" t="inlineStr">
        <is>
          <t>Completed</t>
        </is>
      </c>
      <c r="D8" s="94" t="inlineStr">
        <is>
          <t>stopped</t>
        </is>
      </c>
      <c r="E8" s="94" t="inlineStr">
        <is>
          <t>2026-09-22 23:39</t>
        </is>
      </c>
      <c r="F8" s="94" t="inlineStr">
        <is>
          <t>stopped</t>
        </is>
      </c>
      <c r="G8" s="94" t="inlineStr">
        <is>
          <t>중단·중복 세션 종결 · 2026-09-30 사용자: 다음 작업 전에 검증을 수행했다고 확인. 이전 중단/실패/중복 세션은 후속 작업으로 이어져 종결. 해당 세션 자체의 테스트 성공을 의미하지 않음.</t>
        </is>
      </c>
      <c r="H8" s="94" t="inlineStr">
        <is>
          <t>D:\JaeChang\Abyss</t>
        </is>
      </c>
      <c r="I8" s="94" t="inlineStr">
        <is>
          <t>C:\Users\JaeChang\.claude\projects\D--JaeChang-Abyss\5c884d9f-f93d-46b2-b960-d523a9c7b4ed.jsonl</t>
        </is>
      </c>
    </row>
    <row r="9" ht="75" customHeight="1">
      <c r="A9" s="94" t="inlineStr">
        <is>
          <t>d98bd20b</t>
        </is>
      </c>
      <c r="B9" s="94" t="inlineStr">
        <is>
          <t>Abyss-E 게임디자인 QA</t>
        </is>
      </c>
      <c r="C9" s="95" t="inlineStr">
        <is>
          <t>Completed</t>
        </is>
      </c>
      <c r="D9" s="94" t="inlineStr">
        <is>
          <t>stopped</t>
        </is>
      </c>
      <c r="E9" s="94" t="inlineStr">
        <is>
          <t>2026-09-22 23:39</t>
        </is>
      </c>
      <c r="F9" s="94" t="inlineStr">
        <is>
          <t>stopped</t>
        </is>
      </c>
      <c r="G9" s="94" t="inlineStr">
        <is>
          <t>중단·중복 세션 종결 · 2026-09-30 사용자: 다음 작업 전에 검증을 수행했다고 확인. 이전 중단/실패/중복 세션은 후속 작업으로 이어져 종결. 해당 세션 자체의 테스트 성공을 의미하지 않음.</t>
        </is>
      </c>
      <c r="H9" s="94" t="inlineStr">
        <is>
          <t>D:\JaeChang\Abyss</t>
        </is>
      </c>
      <c r="I9" s="94" t="inlineStr">
        <is>
          <t>C:\Users\JaeChang\.claude\projects\D--JaeChang-Abyss\d98bd20b-8344-4a72-a9ae-04215d0adb87.jsonl</t>
        </is>
      </c>
    </row>
    <row r="10" ht="75" customHeight="1">
      <c r="A10" s="94" t="inlineStr">
        <is>
          <t>ccf08da3</t>
        </is>
      </c>
      <c r="B10" s="94" t="inlineStr">
        <is>
          <t>git worktree report setup</t>
        </is>
      </c>
      <c r="C10" s="95" t="inlineStr">
        <is>
          <t>Completed</t>
        </is>
      </c>
      <c r="D10" s="94" t="inlineStr">
        <is>
          <t>done</t>
        </is>
      </c>
      <c r="E10" s="94" t="inlineStr">
        <is>
          <t>2026-09-22 23:39</t>
        </is>
      </c>
      <c r="F10" s="94" t="inlineStr">
        <is>
          <t>Code review of run-abandon feature completed; report at D:/JaeChang/Abyss-agent-workspaces/review-20260922/Docs/production/results/A-run-flow.md. Found 3 issues: [mid] unpause during title fade allows timeScale=0 lobby load; [low] test hardcodes gold to 0; [escalate] analytics can't distinguish abandoned runs.</t>
        </is>
      </c>
      <c r="G10"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10" s="94" t="inlineStr">
        <is>
          <t>D:\JaeChang\Abyss</t>
        </is>
      </c>
      <c r="I10" s="94" t="inlineStr">
        <is>
          <t>C:\Users\JaeChang\.claude\projects\D--JaeChang-Abyss\ccf08da3-3010-4dd4-9ae5-a41c42161a77.jsonl</t>
        </is>
      </c>
    </row>
    <row r="11" ht="75" customHeight="1">
      <c r="A11" s="94" t="inlineStr">
        <is>
          <t>00d47837</t>
        </is>
      </c>
      <c r="B11" s="94" t="inlineStr">
        <is>
          <t>Continue your assigned task from the existing context. The coordinator has created a linked git worktree for report isolation. IMPORTANT: write your only report to D:/JaeChang/Abyss-agent-workspaces/review-20260922/Docs/production/results/C-integration.md instead of the original shared checkout. Read original D:/JaeChang/Abyss sources for the CURRENT working state; another worker has committed changes meanwhile, so describe current evidence and do not assume the old bug is still open. You may read/write ONLY your assigned report under the linked worktree; do not edit any source or other report. Do not change or disable the background isolation guard. Do not spawn agents or run Unity. Continue now and finish the report; label unexecuted tests honestly.</t>
        </is>
      </c>
      <c r="C11" s="95" t="inlineStr">
        <is>
          <t>Completed</t>
        </is>
      </c>
      <c r="D11" s="94" t="inlineStr">
        <is>
          <t>stopped</t>
        </is>
      </c>
      <c r="E11" s="94" t="inlineStr">
        <is>
          <t>2026-09-22 23:39</t>
        </is>
      </c>
      <c r="F11" s="94" t="inlineStr">
        <is>
          <t>stopped</t>
        </is>
      </c>
      <c r="G11" s="94" t="inlineStr">
        <is>
          <t>중단·중복 세션 종결 · 2026-09-30 사용자: 다음 작업 전에 검증을 수행했다고 확인. 이전 중단/실패/중복 세션은 후속 작업으로 이어져 종결. 해당 세션 자체의 테스트 성공을 의미하지 않음.</t>
        </is>
      </c>
      <c r="H11" s="94" t="inlineStr">
        <is>
          <t>D:\JaeChang\Abyss</t>
        </is>
      </c>
      <c r="I11" s="94" t="inlineStr"/>
    </row>
    <row r="12" ht="75" customHeight="1">
      <c r="A12" s="94" t="inlineStr">
        <is>
          <t>17283e86</t>
        </is>
      </c>
      <c r="B12" s="94" t="inlineStr">
        <is>
          <t>Continue your assigned task from the existing context. The coordinator has created a linked git worktree for report isolation. IMPORTANT: write your only report to D:/JaeChang/Abyss-agent-workspaces/review-20260922/Docs/production/results/D-stage1-direction.md instead of the original shared checkout. Read original D:/JaeChang/Abyss sources for the CURRENT working state; another worker has committed changes meanwhile, so describe current evidence and do not assume the old bug is still open. You may read/write ONLY your assigned report under the linked worktree; do not edit any source or other report. Do not change or disable the background isolation guard. Do not spawn agents or run Unity. Continue now and finish the report; label unexecuted tests honestly.</t>
        </is>
      </c>
      <c r="C12" s="95" t="inlineStr">
        <is>
          <t>Completed</t>
        </is>
      </c>
      <c r="D12" s="94" t="inlineStr">
        <is>
          <t>stopped</t>
        </is>
      </c>
      <c r="E12" s="94" t="inlineStr">
        <is>
          <t>2026-09-22 23:40</t>
        </is>
      </c>
      <c r="F12" s="94" t="inlineStr">
        <is>
          <t>stopped</t>
        </is>
      </c>
      <c r="G12" s="94" t="inlineStr">
        <is>
          <t>중단·중복 세션 종결 · 2026-09-30 사용자: 다음 작업 전에 검증을 수행했다고 확인. 이전 중단/실패/중복 세션은 후속 작업으로 이어져 종결. 해당 세션 자체의 테스트 성공을 의미하지 않음.</t>
        </is>
      </c>
      <c r="H12" s="94" t="inlineStr">
        <is>
          <t>D:\JaeChang\Abyss</t>
        </is>
      </c>
      <c r="I12" s="94" t="inlineStr"/>
    </row>
    <row r="13" ht="75" customHeight="1">
      <c r="A13" s="94" t="inlineStr">
        <is>
          <t>30497735</t>
        </is>
      </c>
      <c r="B13" s="94" t="inlineStr">
        <is>
          <t>Continue your assigned task from the existing context. The coordinator has created a linked git worktree for report isolation. IMPORTANT: write your only report to D:/JaeChang/Abyss-agent-workspaces/review-20260922/Docs/production/results/E-test-plan.md instead of the original shared checkout. Read original D:/JaeChang/Abyss sources for the CURRENT working state; another worker has committed changes meanwhile, so describe current evidence and do not assume the old bug is still open. You may read/write ONLY your assigned report under the linked worktree; do not edit any source or other report. Do not change or disable the background isolation guard. Do not spawn agents or run Unity. Continue now and finish the report; label unexecuted tests honestly.</t>
        </is>
      </c>
      <c r="C13" s="95" t="inlineStr">
        <is>
          <t>Completed</t>
        </is>
      </c>
      <c r="D13" s="94" t="inlineStr">
        <is>
          <t>stopped</t>
        </is>
      </c>
      <c r="E13" s="94" t="inlineStr">
        <is>
          <t>2026-09-22 23:40</t>
        </is>
      </c>
      <c r="F13" s="94" t="inlineStr">
        <is>
          <t>stopped</t>
        </is>
      </c>
      <c r="G13" s="94" t="inlineStr">
        <is>
          <t>중단·중복 세션 종결 · 2026-09-30 사용자: 다음 작업 전에 검증을 수행했다고 확인. 이전 중단/실패/중복 세션은 후속 작업으로 이어져 종결. 해당 세션 자체의 테스트 성공을 의미하지 않음.</t>
        </is>
      </c>
      <c r="H13" s="94" t="inlineStr">
        <is>
          <t>D:\JaeChang\Abyss</t>
        </is>
      </c>
      <c r="I13" s="94" t="inlineStr"/>
    </row>
    <row r="14" ht="75" customHeight="1">
      <c r="A14" s="94" t="inlineStr">
        <is>
          <t>5a203014</t>
        </is>
      </c>
      <c r="B14" s="94" t="inlineStr">
        <is>
          <t>Abyss-C Unity 통합 인수</t>
        </is>
      </c>
      <c r="C14" s="95" t="inlineStr">
        <is>
          <t>Completed</t>
        </is>
      </c>
      <c r="D14" s="94" t="inlineStr">
        <is>
          <t>done</t>
        </is>
      </c>
      <c r="E14" s="94" t="inlineStr">
        <is>
          <t>2026-09-22 23:41</t>
        </is>
      </c>
      <c r="F14" s="94" t="inlineStr">
        <is>
          <t>Report: C-integration.md in review-20260922 worktree. Stage 1 data linked correctly; 27 environment assets disconnected from Run scene; BossAbyssKeeper temp sprite needs final art.</t>
        </is>
      </c>
      <c r="G14"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14" s="94" t="inlineStr">
        <is>
          <t>D:\JaeChang\Abyss</t>
        </is>
      </c>
      <c r="I14" s="94" t="inlineStr">
        <is>
          <t>C:\Users\JaeChang\.claude\projects\D--JaeChang-Abyss\5a203014-b96c-4b23-8a11-4295a8341be2.jsonl</t>
        </is>
      </c>
    </row>
    <row r="15" ht="75" customHeight="1">
      <c r="A15" s="94" t="inlineStr">
        <is>
          <t>883122ad</t>
        </is>
      </c>
      <c r="B15" s="94" t="inlineStr">
        <is>
          <t>Abyss-D 콘텐츠 PD</t>
        </is>
      </c>
      <c r="C15" s="95" t="inlineStr">
        <is>
          <t>Completed</t>
        </is>
      </c>
      <c r="D15" s="94" t="inlineStr">
        <is>
          <t>done</t>
        </is>
      </c>
      <c r="E15" s="94" t="inlineStr">
        <is>
          <t>2026-09-22 23:41</t>
        </is>
      </c>
      <c r="F15" s="94" t="inlineStr">
        <is>
          <t>D-stage1-direction.md: 27-frame art unhooked from Run scene, boss sprite is placeholder, 5 enemy types reusable, 21 SFX Python-generated + connected, 0 BGM; 4 decisions needed from leadership</t>
        </is>
      </c>
      <c r="G15"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15" s="94" t="inlineStr">
        <is>
          <t>D:\JaeChang\Abyss</t>
        </is>
      </c>
      <c r="I15" s="94" t="inlineStr">
        <is>
          <t>C:\Users\JaeChang\.claude\projects\D--JaeChang-Abyss\883122ad-2a76-451f-be22-747e8f5f7a78.jsonl</t>
        </is>
      </c>
    </row>
    <row r="16" ht="75" customHeight="1">
      <c r="A16" s="94" t="inlineStr">
        <is>
          <t>d0a0802e</t>
        </is>
      </c>
      <c r="B16" s="94" t="inlineStr">
        <is>
          <t>Abyss-E 게임디자인 QA</t>
        </is>
      </c>
      <c r="C16" s="95" t="inlineStr">
        <is>
          <t>Completed</t>
        </is>
      </c>
      <c r="D16" s="94" t="inlineStr">
        <is>
          <t>done</t>
        </is>
      </c>
      <c r="E16" s="94" t="inlineStr">
        <is>
          <t>2026-09-22 23:41</t>
        </is>
      </c>
      <c r="F16" s="94" t="inlineStr">
        <is>
          <t>Test plan documented (R/T1/T2 branches, 12 instrumentation bugs identified, 5 decision items for stakeholders, past sample segregated)</t>
        </is>
      </c>
      <c r="G16"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16" s="94" t="inlineStr">
        <is>
          <t>D:\JaeChang\Abyss</t>
        </is>
      </c>
      <c r="I16" s="94" t="inlineStr">
        <is>
          <t>C:\Users\JaeChang\.claude\projects\D--JaeChang-Abyss\d0a0802e-9afb-4629-88eb-c10bbbdc4264.jsonl</t>
        </is>
      </c>
    </row>
    <row r="17" ht="75" customHeight="1">
      <c r="A17" s="94" t="inlineStr">
        <is>
          <t>4ac109f1</t>
        </is>
      </c>
      <c r="B17" s="94" t="inlineStr">
        <is>
          <t>save system verification</t>
        </is>
      </c>
      <c r="C17" s="95" t="inlineStr">
        <is>
          <t>Completed</t>
        </is>
      </c>
      <c r="D17" s="94" t="inlineStr">
        <is>
          <t>stopped</t>
        </is>
      </c>
      <c r="E17" s="94" t="inlineStr">
        <is>
          <t>2026-09-23 00:09</t>
        </is>
      </c>
      <c r="F17" s="94" t="inlineStr">
        <is>
          <t>stopped</t>
        </is>
      </c>
      <c r="G17" s="94" t="inlineStr">
        <is>
          <t>중단·중복 세션 종결 · 2026-09-30 사용자: 다음 작업 전에 검증을 수행했다고 확인. 이전 중단/실패/중복 세션은 후속 작업으로 이어져 종결. 해당 세션 자체의 테스트 성공을 의미하지 않음.</t>
        </is>
      </c>
      <c r="H17" s="94" t="inlineStr">
        <is>
          <t>D:\JaeChang\Abyss-agent-workspaces\save-safety-20260922</t>
        </is>
      </c>
      <c r="I17" s="94" t="inlineStr">
        <is>
          <t>C:\Users\JaeChang\.claude\projects\D--JaeChang-Abyss-agent-workspaces-save-safety-20260922\4ac109f1-21b7-43e4-a944-0f5546c5044a.jsonl</t>
        </is>
      </c>
    </row>
    <row r="18" ht="75" customHeight="1">
      <c r="A18" s="94" t="inlineStr">
        <is>
          <t>47d01473</t>
        </is>
      </c>
      <c r="B18" s="94" t="inlineStr">
        <is>
          <t>Abyss-A2 후속 구현</t>
        </is>
      </c>
      <c r="C18" s="95" t="inlineStr">
        <is>
          <t>Completed</t>
        </is>
      </c>
      <c r="D18" s="94" t="inlineStr">
        <is>
          <t>done</t>
        </is>
      </c>
      <c r="E18" s="94" t="inlineStr">
        <is>
          <t>2026-09-23 00:09</t>
        </is>
      </c>
      <c r="F18" s="94" t="inlineStr">
        <is>
          <t>A2-event-contract.md + A2-run-transition.md in Docs/production/results/; awaiting C compile &amp; R1-R5 verification</t>
        </is>
      </c>
      <c r="G18"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18" s="94" t="inlineStr">
        <is>
          <t>D:\JaeChang\Abyss-agent-workspaces\run-transition-20260923</t>
        </is>
      </c>
      <c r="I18" s="94" t="inlineStr">
        <is>
          <t>C:\Users\JaeChang\.claude\projects\D--JaeChang-Abyss-agent-workspaces-run-transition-20260923\47d01473-c425-4f0e-b7fe-4c8d829d3a85.jsonl</t>
        </is>
      </c>
    </row>
    <row r="19" ht="75" customHeight="1">
      <c r="A19" s="94" t="inlineStr">
        <is>
          <t>c3801c1b</t>
        </is>
      </c>
      <c r="B19" s="94" t="inlineStr">
        <is>
          <t>Abyss-E2 후속 구현</t>
        </is>
      </c>
      <c r="C19" s="95" t="inlineStr">
        <is>
          <t>Completed</t>
        </is>
      </c>
      <c r="D19" s="94" t="inlineStr">
        <is>
          <t>done</t>
        </is>
      </c>
      <c r="E19" s="94" t="inlineStr">
        <is>
          <t>2026-09-23 00:09</t>
        </is>
      </c>
      <c r="F19" s="94" t="inlineStr">
        <is>
          <t>E2 analytics implementation complete. Report at Docs/production/results/E2-analytics.md; synthetic test logs in E2-synthetic-logs/; awaiting Codex to run commands ①~④ and validate.</t>
        </is>
      </c>
      <c r="G19"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19" s="94" t="inlineStr">
        <is>
          <t>D:\JaeChang\Abyss-agent-workspaces\analytics-20260923</t>
        </is>
      </c>
      <c r="I19" s="94" t="inlineStr">
        <is>
          <t>C:\Users\JaeChang\.claude\projects\D--JaeChang-Abyss-agent-workspaces-analytics-20260923\c3801c1b-3612-4e1c-9a48-d64c5cba74c5.jsonl</t>
        </is>
      </c>
    </row>
    <row r="20" ht="75" customHeight="1">
      <c r="A20" s="94" t="inlineStr">
        <is>
          <t>3dc4c0ee</t>
        </is>
      </c>
      <c r="B20" s="94" t="inlineStr">
        <is>
          <t>작업공간: D:/JaeChang/Abyss-agent-workspaces/review-20260922 사용자가 후속 실행을 승인했다. 총괄은 Codex다. 원본 D:/JaeChang/Abyss는 읽기만 가능하다. 지정 linked worktree에서만 배정 파일을 수정하라. 커밋/병합/푸시/다른 에이전트 실행/사용자 저장 접근/Unity 실행은 하지 않는다. .meta는 직접 생성하지 않는다. 공통 memory/간트 갱신은 총괄 소유이므로 하지 않는다. 결과는 자신의 작업공간 Docs/production/results에 제출한다. 불가능한 검증은 미실행으로 표시한다. 먼저 CONVENTIONS.md를 읽어라. 원본 참조, 모든 산출물은 D:/JaeChang/Abyss-agent-workspaces/review-20260922/Docs/production/results에 작성하라. 문서 작성만 하라. 첫 보스와 최소 사운드의 구현 계약 &gt; 기존 D 명세를 유지하되 BossAbyssKeeper의 예고·발동·회복 규약을 먼저 작성하라. 현재 windup/recovery 0과 기본 탄막의 예고 부재를 구분해 적어라. 보스 신규 외형 제작으로 공격 예고가 해결된다고 가정하지 마라. &gt; &gt; 근접/탄막 각각 플레이어가 무엇을 보고 반응할지, 어떤 구간에 피해가 발생하는지, 임시 표현으로 어떻게 확인할지 제시하라. 수치 제안은 제안으로 표시하고 EnemyData나 코드를 직접 수정하지 않는다. 공용 BossEnemy 변경이 다른 보스에 영향을 주는지 C가 판단할 수 있게 한다. &gt; &gt; 첫 범위는 Stage1 기존 배경·지면·발판 재사용, 현재 지형 보존이다. 피격·폼교체·가드 소리 중 기존 자산 재사용으로 확인 가능한 것과 신규 음원이 필요한 것을 구분한다. 보스 전량 제작/새 음악 구매/유료 생성은 하지 않는다. 정상 화면·청취 검증이 없는 항목을 합격 처리하지 마라. &gt; &gt; 결과 D2-boss-feedback.md를 C가 사용할 대상 파일·타이밍·시각/청각 통과 조건으로 작성하라.</t>
        </is>
      </c>
      <c r="C20" s="95" t="inlineStr">
        <is>
          <t>Completed</t>
        </is>
      </c>
      <c r="D20" s="94" t="inlineStr">
        <is>
          <t>stopped</t>
        </is>
      </c>
      <c r="E20" s="94" t="inlineStr">
        <is>
          <t>2026-09-23 00:09</t>
        </is>
      </c>
      <c r="F20" s="94" t="inlineStr">
        <is>
          <t>stopped</t>
        </is>
      </c>
      <c r="G20" s="94" t="inlineStr">
        <is>
          <t>중단·중복 세션 종결 · 2026-09-30 사용자: 다음 작업 전에 검증을 수행했다고 확인. 이전 중단/실패/중복 세션은 후속 작업으로 이어져 종결. 해당 세션 자체의 테스트 성공을 의미하지 않음.</t>
        </is>
      </c>
      <c r="H20" s="94" t="inlineStr">
        <is>
          <t>D:\JaeChang\Abyss-agent-workspaces\review-20260922</t>
        </is>
      </c>
      <c r="I20" s="94" t="inlineStr">
        <is>
          <t>C:\Users\JaeChang\.claude\projects\D--JaeChang-Abyss-agent-workspaces-review-20260922\3dc4c0ee-9837-4c0c-82cb-90a1bab721d4.jsonl</t>
        </is>
      </c>
    </row>
    <row r="21" ht="75" customHeight="1">
      <c r="A21" s="94" t="inlineStr">
        <is>
          <t>bcba50da</t>
        </is>
      </c>
      <c r="B21" s="94" t="inlineStr">
        <is>
          <t>save system validation</t>
        </is>
      </c>
      <c r="C21" s="95" t="inlineStr">
        <is>
          <t>Completed</t>
        </is>
      </c>
      <c r="D21" s="94" t="inlineStr">
        <is>
          <t>done</t>
        </is>
      </c>
      <c r="E21" s="94" t="inlineStr">
        <is>
          <t>2026-09-23 00:10</t>
        </is>
      </c>
      <c r="F21" s="94" t="inlineStr">
        <is>
          <t>B2 followup complete: SaveFileOperations.cs + MetaSaveService.LoadState.cs with guard contract &amp; inaccessible-vs-corrupt split, 20 tests (8 EditMode + 12 PlayMode), handoff doc at Docs/production/results/B2-save-safety-followup.md</t>
        </is>
      </c>
      <c r="G21"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21" s="94" t="inlineStr">
        <is>
          <t>D:\JaeChang\Abyss-agent-workspaces\save-safety-20260922</t>
        </is>
      </c>
      <c r="I21" s="94" t="inlineStr">
        <is>
          <t>C:\Users\JaeChang\.claude\projects\D--JaeChang-Abyss-agent-workspaces-save-safety-20260922\bcba50da-bf39-40cd-bd64-7de0ec1bc43b.jsonl</t>
        </is>
      </c>
    </row>
    <row r="22" ht="75" customHeight="1">
      <c r="A22" s="94" t="inlineStr">
        <is>
          <t>ea6df2c1</t>
        </is>
      </c>
      <c r="B22" s="94" t="inlineStr">
        <is>
          <t>sfx audiomanager integration</t>
        </is>
      </c>
      <c r="C22" s="95" t="inlineStr">
        <is>
          <t>Completed</t>
        </is>
      </c>
      <c r="D22" s="94" t="inlineStr">
        <is>
          <t>done</t>
        </is>
      </c>
      <c r="E22" s="94" t="inlineStr">
        <is>
          <t>2026-09-23 00:11</t>
        </is>
      </c>
      <c r="F22" s="94" t="inlineStr">
        <is>
          <t>D2-boss-feedback.md: melee/volley telegraph analysis + 4 decisions for Codex (stagger interrupt scope, sfx ownership, values, simultaneous attack block)</t>
        </is>
      </c>
      <c r="G22"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22" s="94" t="inlineStr">
        <is>
          <t>D:\JaeChang\Abyss-agent-workspaces\review-20260922</t>
        </is>
      </c>
      <c r="I22" s="94" t="inlineStr">
        <is>
          <t>C:\Users\JaeChang\.claude\projects\D--JaeChang-Abyss-agent-workspaces-review-20260922\ea6df2c1-431b-42b8-9dc5-712981a2b7e7.jsonl</t>
        </is>
      </c>
    </row>
    <row r="23" ht="75" customHeight="1">
      <c r="A23" s="94" t="inlineStr">
        <is>
          <t>4da7849a</t>
        </is>
      </c>
      <c r="B23" s="94" t="inlineStr">
        <is>
          <t>A2 결과 인수 검수에서 보완 2건. D:/JaeChang/Abyss/Docs/production/wave2-20260923/coordinator-review.md A2 항목을 읽고 보완하라. 특히 미등록 씬 예외에서 검은 화면 복구와 AbandonRun 구독자 예외에도 골드 0 불변식 보장. 해당 회귀 테스트를 추가하고 기존 결과문서에 보완 기록. 범위 외 변경 금지, Unity 실행/커밋 금지.</t>
        </is>
      </c>
      <c r="C23" s="95" t="inlineStr">
        <is>
          <t>Completed</t>
        </is>
      </c>
      <c r="D23" s="94" t="inlineStr">
        <is>
          <t>stopped</t>
        </is>
      </c>
      <c r="E23" s="94" t="inlineStr">
        <is>
          <t>2026-09-23 15:50</t>
        </is>
      </c>
      <c r="F23" s="94" t="inlineStr">
        <is>
          <t>stopped</t>
        </is>
      </c>
      <c r="G23" s="94" t="inlineStr">
        <is>
          <t>중단·중복 세션 종결 · 2026-09-30 사용자: 다음 작업 전에 검증을 수행했다고 확인. 이전 중단/실패/중복 세션은 후속 작업으로 이어져 종결. 해당 세션 자체의 테스트 성공을 의미하지 않음.</t>
        </is>
      </c>
      <c r="H23" s="94" t="inlineStr">
        <is>
          <t>D:\JaeChang\Abyss-agent-workspaces\run-transition-20260923</t>
        </is>
      </c>
      <c r="I23" s="94" t="inlineStr">
        <is>
          <t>C:\Users\JaeChang\.claude\projects\D--JaeChang-Abyss-agent-workspaces-run-transition-20260923\4da7849a-2ee7-4905-9565-d2d7b0e46759.jsonl</t>
        </is>
      </c>
    </row>
    <row r="24" ht="75" customHeight="1">
      <c r="A24" s="94" t="inlineStr">
        <is>
          <t>06983306</t>
        </is>
      </c>
      <c r="B24" s="94" t="inlineStr">
        <is>
          <t>B2 결과 중 런타임 2개 파일 분할은 승인한다. D:/JaeChang/Abyss/Docs/production/wave2-20260923/coordinator-review.md B2 항목을 읽고 보완하라. 중첩 Acquire는 이미 활성인 가드를 자동 해제하지 말고 예외로 거절하라. 테스트도 두 독립 가드의 실제 중첩/순서로 검증하여 첫 가드 격리가 살아 있음을 확인하라. 기존 누수 자동 회복 기대는 제거하라. 파일 범위 유지, Unity 실행/커밋 금지. 보고서에 보완 기록.</t>
        </is>
      </c>
      <c r="C24" s="95" t="inlineStr">
        <is>
          <t>Completed</t>
        </is>
      </c>
      <c r="D24" s="94" t="inlineStr">
        <is>
          <t>stopped</t>
        </is>
      </c>
      <c r="E24" s="94" t="inlineStr">
        <is>
          <t>2026-09-23 15:50</t>
        </is>
      </c>
      <c r="F24" s="94" t="inlineStr">
        <is>
          <t>stopped</t>
        </is>
      </c>
      <c r="G24" s="94" t="inlineStr">
        <is>
          <t>중단·중복 세션 종결 · 2026-09-30 사용자: 다음 작업 전에 검증을 수행했다고 확인. 이전 중단/실패/중복 세션은 후속 작업으로 이어져 종결. 해당 세션 자체의 테스트 성공을 의미하지 않음.</t>
        </is>
      </c>
      <c r="H24" s="94" t="inlineStr">
        <is>
          <t>D:\JaeChang\Abyss-agent-workspaces\save-safety-20260922</t>
        </is>
      </c>
      <c r="I24" s="94" t="inlineStr">
        <is>
          <t>C:\Users\JaeChang\.claude\projects\D--JaeChang-Abyss-agent-workspaces-save-safety-20260922\06983306-4940-4ab8-af68-d1b8ee1e57d3.jsonl</t>
        </is>
      </c>
    </row>
    <row r="25" ht="75" customHeight="1">
      <c r="A25" s="94" t="inlineStr">
        <is>
          <t>e0fb533a</t>
        </is>
      </c>
      <c r="B25" s="94" t="inlineStr">
        <is>
          <t>Abyss-C2 통합 구현</t>
        </is>
      </c>
      <c r="C25" s="95" t="inlineStr">
        <is>
          <t>Completed</t>
        </is>
      </c>
      <c r="D25" s="94" t="inlineStr">
        <is>
          <t>stopped</t>
        </is>
      </c>
      <c r="E25" s="94" t="inlineStr">
        <is>
          <t>2026-09-23 15:51</t>
        </is>
      </c>
      <c r="F25" s="94" t="inlineStr">
        <is>
          <t>stopped</t>
        </is>
      </c>
      <c r="G25" s="94" t="inlineStr">
        <is>
          <t>중단·중복 세션 종결 · 2026-09-30 사용자: 다음 작업 전에 검증을 수행했다고 확인. 이전 중단/실패/중복 세션은 후속 작업으로 이어져 종결. 해당 세션 자체의 테스트 성공을 의미하지 않음.</t>
        </is>
      </c>
      <c r="H25" s="94" t="inlineStr">
        <is>
          <t>D:\JaeChang\Abyss-agent-workspaces\integration-20260923</t>
        </is>
      </c>
      <c r="I25" s="94" t="inlineStr">
        <is>
          <t>C:\Users\JaeChang\.claude\projects\D--JaeChang-Abyss-agent-workspaces-integration-20260923\e0fb533a-9dc9-4a4d-b51c-1097e22bd842.jsonl</t>
        </is>
      </c>
    </row>
    <row r="26" ht="75" customHeight="1">
      <c r="A26" s="94" t="inlineStr">
        <is>
          <t>d5766c7d</t>
        </is>
      </c>
      <c r="B26" s="94" t="inlineStr">
        <is>
          <t>run manager code review</t>
        </is>
      </c>
      <c r="C26" s="95" t="inlineStr">
        <is>
          <t>Completed</t>
        </is>
      </c>
      <c r="D26" s="94" t="inlineStr">
        <is>
          <t>stopped</t>
        </is>
      </c>
      <c r="E26" s="94" t="inlineStr">
        <is>
          <t>2026-09-23 15:54</t>
        </is>
      </c>
      <c r="F26" s="94" t="inlineStr">
        <is>
          <t>stopped</t>
        </is>
      </c>
      <c r="G26" s="94" t="inlineStr">
        <is>
          <t>중단·중복 세션 종결 · 2026-09-30 사용자: 다음 작업 전에 검증을 수행했다고 확인. 이전 중단/실패/중복 세션은 후속 작업으로 이어져 종결. 해당 세션 자체의 테스트 성공을 의미하지 않음.</t>
        </is>
      </c>
      <c r="H26" s="94" t="inlineStr">
        <is>
          <t>D:\JaeChang\Abyss</t>
        </is>
      </c>
      <c r="I26" s="94" t="inlineStr">
        <is>
          <t>C:\Users\JaeChang\.claude\projects\D--JaeChang-Abyss\d5766c7d-ecd9-4266-95f9-a7b235752470.jsonl</t>
        </is>
      </c>
    </row>
    <row r="27" ht="75" customHeight="1">
      <c r="A27" s="94" t="inlineStr">
        <is>
          <t>ed7b46ff</t>
        </is>
      </c>
      <c r="B27" s="94" t="inlineStr">
        <is>
          <t>save system testing</t>
        </is>
      </c>
      <c r="C27" s="95" t="inlineStr">
        <is>
          <t>Completed</t>
        </is>
      </c>
      <c r="D27" s="94" t="inlineStr">
        <is>
          <t>done</t>
        </is>
      </c>
      <c r="E27" s="94" t="inlineStr">
        <is>
          <t>2026-09-23 15:54</t>
        </is>
      </c>
      <c r="F27" s="94" t="inlineStr"/>
      <c r="G27"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27" s="94" t="inlineStr">
        <is>
          <t>D:\JaeChang\Abyss</t>
        </is>
      </c>
      <c r="I27" s="94" t="inlineStr">
        <is>
          <t>C:\Users\JaeChang\.claude\projects\D--JaeChang-Abyss\ed7b46ff-5724-4efa-a412-7fd9fda4a14d.jsonl</t>
        </is>
      </c>
    </row>
    <row r="28" ht="75" customHeight="1">
      <c r="A28" s="94" t="inlineStr">
        <is>
          <t>48b1f9b7</t>
        </is>
      </c>
      <c r="B28" s="94" t="inlineStr">
        <is>
          <t>login recovery c2 assignment</t>
        </is>
      </c>
      <c r="C28" s="95" t="inlineStr">
        <is>
          <t>Completed</t>
        </is>
      </c>
      <c r="D28" s="94" t="inlineStr">
        <is>
          <t>stopped</t>
        </is>
      </c>
      <c r="E28" s="94" t="inlineStr">
        <is>
          <t>2026-09-23 15:54</t>
        </is>
      </c>
      <c r="F28" s="94" t="inlineStr">
        <is>
          <t>stopped</t>
        </is>
      </c>
      <c r="G28" s="94" t="inlineStr">
        <is>
          <t>중단·중복 세션 종결 · 2026-09-30 사용자: 다음 작업 전에 검증을 수행했다고 확인. 이전 중단/실패/중복 세션은 후속 작업으로 이어져 종결. 해당 세션 자체의 테스트 성공을 의미하지 않음.</t>
        </is>
      </c>
      <c r="H28" s="94" t="inlineStr">
        <is>
          <t>D:\JaeChang\Abyss</t>
        </is>
      </c>
      <c r="I28" s="94" t="inlineStr">
        <is>
          <t>C:\Users\JaeChang\.claude\projects\D--JaeChang-Abyss\48b1f9b7-22a1-4f16-959d-c064fbbc421d.jsonl</t>
        </is>
      </c>
    </row>
    <row r="29" ht="75" customHeight="1">
      <c r="A29" s="94" t="inlineStr">
        <is>
          <t>c55e0c52</t>
        </is>
      </c>
      <c r="B29" s="94" t="inlineStr">
        <is>
          <t>run transition code review</t>
        </is>
      </c>
      <c r="C29" s="95" t="inlineStr">
        <is>
          <t>Completed</t>
        </is>
      </c>
      <c r="D29" s="94" t="inlineStr">
        <is>
          <t>stopped</t>
        </is>
      </c>
      <c r="E29" s="94" t="inlineStr">
        <is>
          <t>2026-09-23 15:54</t>
        </is>
      </c>
      <c r="F29" s="94" t="inlineStr">
        <is>
          <t>stopped</t>
        </is>
      </c>
      <c r="G29" s="94" t="inlineStr">
        <is>
          <t>중단·중복 세션 종결 · 2026-09-30 사용자: 다음 작업 전에 검증을 수행했다고 확인. 이전 중단/실패/중복 세션은 후속 작업으로 이어져 종결. 해당 세션 자체의 테스트 성공을 의미하지 않음.</t>
        </is>
      </c>
      <c r="H29" s="94" t="inlineStr">
        <is>
          <t>D:\JaeChang\Abyss-agent-workspaces\run-transition-20260923</t>
        </is>
      </c>
      <c r="I29" s="94" t="inlineStr">
        <is>
          <t>C:\Users\JaeChang\.claude\projects\D--JaeChang-Abyss-agent-workspaces-run-transition-20260923\c55e0c52-9c1b-45ae-afe1-b06e5a53075e.jsonl</t>
        </is>
      </c>
    </row>
    <row r="30" ht="75" customHeight="1">
      <c r="A30" s="94" t="inlineStr">
        <is>
          <t>9bcff2b2</t>
        </is>
      </c>
      <c r="B30" s="94" t="inlineStr">
        <is>
          <t>save system testing implementation</t>
        </is>
      </c>
      <c r="C30" s="95" t="inlineStr">
        <is>
          <t>Completed</t>
        </is>
      </c>
      <c r="D30" s="94" t="inlineStr">
        <is>
          <t>done</t>
        </is>
      </c>
      <c r="E30" s="94" t="inlineStr">
        <is>
          <t>2026-09-23 15:55</t>
        </is>
      </c>
      <c r="F30" s="94" t="inlineStr">
        <is>
          <t>PlayModeSaveGuard nested-acquire rejection &amp; forced-release tests; TryReadFile access-denial reclassification; guard-leak &amp; permission-exception risks documented in §6</t>
        </is>
      </c>
      <c r="G30"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0" s="94" t="inlineStr">
        <is>
          <t>D:\JaeChang\Abyss-agent-workspaces\save-safety-20260922</t>
        </is>
      </c>
      <c r="I30" s="94" t="inlineStr">
        <is>
          <t>C:\Users\JaeChang\.claude\projects\D--JaeChang-Abyss-agent-workspaces-save-safety-20260922\9bcff2b2-ff03-4af9-bbd1-bc94cdea93cb.jsonl</t>
        </is>
      </c>
    </row>
    <row r="31" ht="75" customHeight="1">
      <c r="A31" s="94" t="inlineStr">
        <is>
          <t>f88c4330</t>
        </is>
      </c>
      <c r="B31" s="94" t="inlineStr">
        <is>
          <t>resume workspace integration</t>
        </is>
      </c>
      <c r="C31" s="95" t="inlineStr">
        <is>
          <t>Completed</t>
        </is>
      </c>
      <c r="D31" s="94" t="inlineStr">
        <is>
          <t>stopped</t>
        </is>
      </c>
      <c r="E31" s="94" t="inlineStr">
        <is>
          <t>2026-09-23 15:55</t>
        </is>
      </c>
      <c r="F31" s="94" t="inlineStr">
        <is>
          <t>first boss telegraph system + Stage1 environment wiring complete; awaiting Unity validation</t>
        </is>
      </c>
      <c r="G31"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1" s="94" t="inlineStr">
        <is>
          <t>D:\JaeChang\Abyss-agent-workspaces\integration-20260923</t>
        </is>
      </c>
      <c r="I31" s="94" t="inlineStr">
        <is>
          <t>C:\Users\JaeChang\.claude\projects\D--JaeChang-Abyss-agent-workspaces-integration-20260923\f88c4330-dd1c-41d4-8624-8096041df453.jsonl</t>
        </is>
      </c>
    </row>
    <row r="32" ht="75" customHeight="1">
      <c r="A32" s="94" t="inlineStr">
        <is>
          <t>405cb3ed</t>
        </is>
      </c>
      <c r="B32" s="94" t="inlineStr">
        <is>
          <t>analytics terminal editor flag</t>
        </is>
      </c>
      <c r="C32" s="95" t="inlineStr">
        <is>
          <t>Completed</t>
        </is>
      </c>
      <c r="D32" s="94" t="inlineStr">
        <is>
          <t>done</t>
        </is>
      </c>
      <c r="E32" s="94" t="inlineStr">
        <is>
          <t>2026-09-28 18:18</t>
        </is>
      </c>
      <c r="F32" s="94" t="inlineStr">
        <is>
          <t>AnalyticsTerminalPlayModeSmoke.cs:102 fixed; player-test-fix.md awaits paste; tests remain</t>
        </is>
      </c>
      <c r="G32"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2" s="94" t="inlineStr">
        <is>
          <t>D:\JaeChang\Abyss</t>
        </is>
      </c>
      <c r="I32" s="94" t="inlineStr">
        <is>
          <t>C:\Users\JaeChang\.claude\projects\D--JaeChang-Abyss\405cb3ed-8316-4f27-aa9f-d0ad2b8b18f8.jsonl</t>
        </is>
      </c>
    </row>
    <row r="33" ht="75" customHeight="1">
      <c r="A33" s="94" t="inlineStr">
        <is>
          <t>2e213a67</t>
        </is>
      </c>
      <c r="B33" s="94" t="inlineStr">
        <is>
          <t>next tasks handoff</t>
        </is>
      </c>
      <c r="C33" s="95" t="inlineStr">
        <is>
          <t>Completed</t>
        </is>
      </c>
      <c r="D33" s="94" t="inlineStr">
        <is>
          <t>done</t>
        </is>
      </c>
      <c r="E33" s="94" t="inlineStr">
        <is>
          <t>2026-09-28 18:38</t>
        </is>
      </c>
      <c r="F33" s="94" t="inlineStr">
        <is>
          <t>세션 기록과 인수인계를 정리했습니다. P03은 브랜치에만 푸시돼 develop 병합을 기다리고, 미커밋으로 남은 파일은 제 작업이 아닌 `ProjectSettings.asset` 하나입니다.</t>
        </is>
      </c>
      <c r="G33"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3" s="94" t="inlineStr">
        <is>
          <t>D:\JaeChang\Abyss</t>
        </is>
      </c>
      <c r="I33" s="94" t="inlineStr">
        <is>
          <t>C:\Users\JaeChang\.claude\projects\D--JaeChang-Abyss\2e213a67-7d44-4192-b848-d7fa3a486222.jsonl</t>
        </is>
      </c>
    </row>
    <row r="34" ht="75" customHeight="1">
      <c r="A34" s="94" t="inlineStr">
        <is>
          <t>15bf111c</t>
        </is>
      </c>
      <c r="B34" s="94" t="inlineStr">
        <is>
          <t>read-only investigation assignment</t>
        </is>
      </c>
      <c r="C34" s="95" t="inlineStr">
        <is>
          <t>Completed</t>
        </is>
      </c>
      <c r="D34" s="94" t="inlineStr">
        <is>
          <t>done</t>
        </is>
      </c>
      <c r="E34" s="94" t="inlineStr">
        <is>
          <t>2026-09-29 01:27</t>
        </is>
      </c>
      <c r="F34" s="94" t="inlineStr">
        <is>
          <t>Read-only analysis complete: 3 implementation candidates ranked (recommend Candidate 1: guard-entry swap); 9 unresolved design decisions block scope lock (trigger condition, entry effect type, counterattack sequencing, cooldown handling, logging strategy, test enemy placement, visual feedback, doc gaps)</t>
        </is>
      </c>
      <c r="G34"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4" s="94" t="inlineStr">
        <is>
          <t>D:\JaeChang\Abyss</t>
        </is>
      </c>
      <c r="I34" s="94" t="inlineStr">
        <is>
          <t>C:\Users\JaeChang\.claude\projects\D--JaeChang-Abyss\15bf111c-6dd8-44de-8e69-7be156ae25e5.jsonl</t>
        </is>
      </c>
    </row>
    <row r="35" ht="75" customHeight="1">
      <c r="A35" s="94" t="inlineStr">
        <is>
          <t>a004ca55</t>
        </is>
      </c>
      <c r="B35" s="94" t="inlineStr">
        <is>
          <t>implementation assignment a/b/c</t>
        </is>
      </c>
      <c r="C35" s="95" t="inlineStr">
        <is>
          <t>Completed</t>
        </is>
      </c>
      <c r="D35" s="94" t="inlineStr">
        <is>
          <t>done</t>
        </is>
      </c>
      <c r="E35" s="94" t="inlineStr">
        <is>
          <t>2026-09-29 01:35</t>
        </is>
      </c>
      <c r="F35" s="94" t="inlineStr">
        <is>
          <t>Implementation complete: A (guard swap reserve), B (ranged-to-melee lunge), C (ranged mark). See Docs/production/p04-20260929/implementation-result.md for full spec, toggles in RunConfig.asset, and manual validation checklist.</t>
        </is>
      </c>
      <c r="G35"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5" s="94" t="inlineStr">
        <is>
          <t>D:\JaeChang\Abyss</t>
        </is>
      </c>
      <c r="I35" s="94" t="inlineStr">
        <is>
          <t>C:\Users\JaeChang\.claude\projects\D--JaeChang-Abyss\a004ca55-eba8-4ba1-ad72-c1d219292e21.jsonl</t>
        </is>
      </c>
    </row>
    <row r="36" ht="75" customHeight="1">
      <c r="A36" s="94" t="inlineStr">
        <is>
          <t>63f1a6f9</t>
        </is>
      </c>
      <c r="B36" s="94" t="inlineStr">
        <is>
          <t>p04 read-only review</t>
        </is>
      </c>
      <c r="C36" s="95" t="inlineStr">
        <is>
          <t>Completed</t>
        </is>
      </c>
      <c r="D36" s="94" t="inlineStr">
        <is>
          <t>done</t>
        </is>
      </c>
      <c r="E36" s="94" t="inlineStr">
        <is>
          <t>2026-09-29 01:35</t>
        </is>
      </c>
      <c r="F36" s="94" t="inlineStr">
        <is>
          <t>A/B 입력예약·교체·물리이동 설계의 5대 위험(폼 데이터 동기화, 예약 중복/미삭제, 접근 충돌 해제 누락, 대시 효과 중복, 프레임락 접지판정)과 10항 인수조건 정적 근거 검토 완료. 구현자 수정 대기.</t>
        </is>
      </c>
      <c r="G36"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6" s="94" t="inlineStr">
        <is>
          <t>D:\JaeChang\Abyss</t>
        </is>
      </c>
      <c r="I36" s="94" t="inlineStr">
        <is>
          <t>C:\Users\JaeChang\.claude\projects\D--JaeChang-Abyss\63f1a6f9-a7ac-4790-bf9f-4780411466cf.jsonl</t>
        </is>
      </c>
    </row>
    <row r="37" ht="75" customHeight="1">
      <c r="A37" s="94" t="inlineStr">
        <is>
          <t>7276e64c</t>
        </is>
      </c>
      <c r="B37" s="94" t="inlineStr">
        <is>
          <t>p04 code connection review</t>
        </is>
      </c>
      <c r="C37" s="95" t="inlineStr">
        <is>
          <t>Completed</t>
        </is>
      </c>
      <c r="D37" s="94" t="inlineStr">
        <is>
          <t>done</t>
        </is>
      </c>
      <c r="E37" s="94" t="inlineStr">
        <is>
          <t>2026-09-29 01:35</t>
        </is>
      </c>
      <c r="F37" s="94" t="inlineStr">
        <is>
          <t>P04 C projectile marking system review finished: identified 5 critical issues (stagger effect, tier filtering, generation tracking, consumption logic, visual conflicts) + 8 acceptance criteria; awaiting implementer decisions on stagger and tier filtering</t>
        </is>
      </c>
      <c r="G37"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7" s="94" t="inlineStr">
        <is>
          <t>D:\JaeChang\Abyss</t>
        </is>
      </c>
      <c r="I37" s="94" t="inlineStr">
        <is>
          <t>C:\Users\JaeChang\.claude\projects\D--JaeChang-Abyss\7276e64c-3549-4f15-b948-abc17a622187.jsonl</t>
        </is>
      </c>
    </row>
    <row r="38" ht="75" customHeight="1">
      <c r="A38" s="94" t="inlineStr">
        <is>
          <t>a1f3dfb8</t>
        </is>
      </c>
      <c r="B38" s="94" t="inlineStr">
        <is>
          <t>visual feedback implementation a/b</t>
        </is>
      </c>
      <c r="C38" s="95" t="inlineStr">
        <is>
          <t>Completed</t>
        </is>
      </c>
      <c r="D38" s="94" t="inlineStr">
        <is>
          <t>done</t>
        </is>
      </c>
      <c r="E38" s="94" t="inlineStr">
        <is>
          <t>2026-09-29 02:10</t>
        </is>
      </c>
      <c r="F38" s="94" t="inlineStr">
        <is>
          <t>FormComboPlayerFx.cs + FormComboSprites.cs created; A swap ring+blink, B wedge+speed-lines wired; result doc at feedback-result.md</t>
        </is>
      </c>
      <c r="G38"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8" s="94" t="inlineStr">
        <is>
          <t>D:\JaeChang\Abyss</t>
        </is>
      </c>
      <c r="I38" s="94" t="inlineStr">
        <is>
          <t>C:\Users\JaeChang\.claude\projects\D--JaeChang-Abyss\a1f3dfb8-2118-490b-9b0c-eaa1620a0b74.jsonl</t>
        </is>
      </c>
    </row>
    <row r="39" ht="75" customHeight="1">
      <c r="A39" s="94" t="inlineStr">
        <is>
          <t>5457a498</t>
        </is>
      </c>
      <c r="B39" s="94" t="inlineStr">
        <is>
          <t>guard window assignment implementation</t>
        </is>
      </c>
      <c r="C39" s="95" t="inlineStr">
        <is>
          <t>Completed</t>
        </is>
      </c>
      <c r="D39" s="94" t="inlineStr">
        <is>
          <t>done</t>
        </is>
      </c>
      <c r="E39" s="94" t="inlineStr">
        <is>
          <t>2026-09-29 02:21</t>
        </is>
      </c>
      <c r="F39" s="94" t="inlineStr">
        <is>
          <t>A 입력 여유 보완 완료 — 플레이 테스트 확인, 문서 기록됨</t>
        </is>
      </c>
      <c r="G39" s="94" t="inlineStr">
        <is>
          <t>사용자 검증·후속 인수 완료 · 2026-09-30 사용자 과거 작업 검증 완료 확인. memory/SESSION_HISTORY.md 9/28 사용자 검증 및 통합, 9/29 P04 최종 검증 기록이 과거 보고보다 우선. 세션별 AI 실행 테스트 통과로 표기하지 않음.</t>
        </is>
      </c>
      <c r="H39" s="94" t="inlineStr">
        <is>
          <t>D:\JaeChang\Abyss</t>
        </is>
      </c>
      <c r="I39" s="94" t="inlineStr">
        <is>
          <t>C:\Users\JaeChang\.claude\projects\D--JaeChang-Abyss\5457a498-22a7-4a92-b98b-b0afcb08eef0.jsonl</t>
        </is>
      </c>
    </row>
    <row r="40" ht="75" customHeight="1">
      <c r="A40" s="94" t="inlineStr">
        <is>
          <t>8b48fec9</t>
        </is>
      </c>
      <c r="B40" s="94" t="inlineStr">
        <is>
          <t>stage1 architecture investigation</t>
        </is>
      </c>
      <c r="C40" s="95" t="inlineStr">
        <is>
          <t>Completed</t>
        </is>
      </c>
      <c r="D40" s="94" t="inlineStr">
        <is>
          <t>done</t>
        </is>
      </c>
      <c r="E40" s="94" t="inlineStr">
        <is>
          <t>2026-09-30 17:53</t>
        </is>
      </c>
      <c r="F40" s="94" t="inlineStr">
        <is>
          <t>Stage1 slice structure report: room layout (horizontal scroll, width 45.6), environment art (stage-level toggle only), screen spec (20×11.25 units), pixel density mismatch (tiles 3×, existing bg 12×, lobby ~1.94×), missing tutorial/flow paths, no Stage1 clear sequence. Recommend Room3_Crowd as showroom. 3 items need runtime verification.</t>
        </is>
      </c>
      <c r="G40" s="94" t="inlineStr">
        <is>
          <t>조사 결과 인수 완료 · memory/NEXT_TASKS.md 및 SESSION_HISTORY.md 9/30 구조 조사 결과 인수; 대표방 Room3 선정에 반영. 조사 산출물 인수 완료이며 게임 실행 검증을 주장하지 않음.</t>
        </is>
      </c>
      <c r="H40" s="94" t="inlineStr">
        <is>
          <t>D:\JaeChang\Abyss</t>
        </is>
      </c>
      <c r="I40" s="94" t="inlineStr">
        <is>
          <t>C:\Users\JaeChang\.claude\projects\D--JaeChang-Abyss\8b48fec9-815e-4edf-a142-a05fa14971bd.jsonl</t>
        </is>
      </c>
    </row>
    <row r="41" ht="75" customHeight="1">
      <c r="A41" s="94" t="inlineStr">
        <is>
          <t>4f51b908</t>
        </is>
      </c>
      <c r="B41" s="94" t="inlineStr">
        <is>
          <t>art connection preparation</t>
        </is>
      </c>
      <c r="C41" s="95" t="inlineStr">
        <is>
          <t>Completed</t>
        </is>
      </c>
      <c r="D41" s="94" t="inlineStr">
        <is>
          <t>done</t>
        </is>
      </c>
      <c r="E41" s="94" t="inlineStr">
        <is>
          <t>2026-09-30 18:06</t>
        </is>
      </c>
      <c r="F41" s="94" t="inlineStr">
        <is>
          <t>Stage1 Room3_Crowd art connection framework implemented in StageEnvironmentRule/Presenter, editor tools added to AbyssTools menu, result report at Docs/production/stage1-slice-20260930/art-connection-result.md — awaiting final art files for validation</t>
        </is>
      </c>
      <c r="G41" s="94" t="inlineStr">
        <is>
          <t>후속 작업으로 통합 · 초기 연결 구현 인수 완료. approved-art-result.md에서 이전 보고서를 superseded로 명시. 남은 Unity 검증은 bf11d68a 하나로 통합.</t>
        </is>
      </c>
      <c r="H41" s="94" t="inlineStr">
        <is>
          <t>D:\JaeChang\Abyss</t>
        </is>
      </c>
      <c r="I41" s="94" t="inlineStr">
        <is>
          <t>C:\Users\JaeChang\.claude\projects\D--JaeChang-Abyss\4f51b908-9a66-4ab5-8b67-93975265a0f3.jsonl</t>
        </is>
      </c>
    </row>
    <row r="42" ht="75" customHeight="1">
      <c r="A42" s="94" t="inlineStr">
        <is>
          <t>bf11d68a</t>
        </is>
      </c>
      <c r="B42" s="94" t="inlineStr">
        <is>
          <t>unity menu wiring approved-art</t>
        </is>
      </c>
      <c r="C42" s="95" t="inlineStr">
        <is>
          <t>Completed</t>
        </is>
      </c>
      <c r="D42" s="94" t="inlineStr">
        <is>
          <t>stopped</t>
        </is>
      </c>
      <c r="E42" s="94" t="inlineStr">
        <is>
          <t>2026-09-30 18:16</t>
        </is>
      </c>
      <c r="F42" s="94" t="inlineStr">
        <is>
          <t>Apply passed validation; Run.unity + import settings changed but uncommitted pending play confirmation</t>
        </is>
      </c>
      <c r="G42" s="94" t="inlineStr">
        <is>
          <t>2026-09-30 사용자: Apply 및 Validate 이후 Room3 새 환경 정상 변경 확인, Stage1 모든 방 확장 요청. 대표방 연결 범위 확인이며 신규 전 방 레벨 검증과 별개.</t>
        </is>
      </c>
      <c r="H42" s="94" t="inlineStr">
        <is>
          <t>D:\JaeChang\Abyss</t>
        </is>
      </c>
      <c r="I42" s="94" t="inlineStr">
        <is>
          <t>C:\Users\JaeChang\.claude\projects\D--JaeChang-Abyss\bf11d68a-6350-4918-a1e3-5a9e9d3555b0.jsonl</t>
        </is>
      </c>
    </row>
    <row r="43" ht="75" customHeight="1">
      <c r="A43" s="94" t="inlineStr">
        <is>
          <t>95ec0fe3</t>
        </is>
      </c>
      <c r="B43" s="94" t="inlineStr">
        <is>
          <t>stage1 room implementation</t>
        </is>
      </c>
      <c r="C43" s="95" t="inlineStr">
        <is>
          <t>Completed</t>
        </is>
      </c>
      <c r="D43" s="94" t="inlineStr">
        <is>
          <t>failed</t>
        </is>
      </c>
      <c r="E43" s="94" t="inlineStr">
        <is>
          <t>2026-09-30 19:07</t>
        </is>
      </c>
      <c r="F43" s="94" t="inlineStr">
        <is>
          <t>All 11 Stage1 rooms refactored: terrace geometry, enemy/enemy-summon/door/altar positioning, art assets integrated, data/spawns adjusted, validation Python model passes all specs</t>
        </is>
      </c>
      <c r="G43" s="94" t="inlineStr">
        <is>
          <t>구현 검증완료</t>
        </is>
      </c>
      <c r="H43" s="94" t="inlineStr">
        <is>
          <t>D:\JaeChang\Abyss</t>
        </is>
      </c>
      <c r="I43" s="94" t="inlineStr">
        <is>
          <t>C:\Users\JaeChang\.claude\projects\D--JaeChang-Abyss\95ec0fe3-e52a-4498-9b53-1300d2fa35cd.jsonl</t>
        </is>
      </c>
    </row>
    <row r="44" ht="75" customHeight="1">
      <c r="A44" s="94" t="inlineStr">
        <is>
          <t>1b09744a-6649-4f9a-8373-c3fe1352c28d</t>
        </is>
      </c>
      <c r="B44" s="94" t="inlineStr">
        <is>
          <t>abyss-54</t>
        </is>
      </c>
      <c r="C44" s="96" t="inlineStr">
        <is>
          <t>Working</t>
        </is>
      </c>
      <c r="D44" s="94" t="inlineStr">
        <is>
          <t>working</t>
        </is>
      </c>
      <c r="E44" s="94" t="inlineStr">
        <is>
          <t>2026-10-02 12:02</t>
        </is>
      </c>
      <c r="F44" s="94" t="inlineStr"/>
      <c r="G44" s="94" t="inlineStr">
        <is>
          <t>검증 완료 근거 미등록</t>
        </is>
      </c>
      <c r="H44" s="94" t="inlineStr">
        <is>
          <t>D:\JaeChang\Abyss</t>
        </is>
      </c>
      <c r="I44" s="94" t="inlineStr"/>
    </row>
    <row r="45" ht="75" customHeight="1">
      <c r="A45" s="94" t="inlineStr">
        <is>
          <t>47182f46-68bf-4aee-a85d-65449e11ccf6</t>
        </is>
      </c>
      <c r="B45" s="94" t="inlineStr">
        <is>
          <t>Abyss · first-play-tutorial-20261002 · 066a4e28 · 1</t>
        </is>
      </c>
      <c r="C45" s="96" t="inlineStr">
        <is>
          <t>Working</t>
        </is>
      </c>
      <c r="D45" s="94" t="inlineStr">
        <is>
          <t>working</t>
        </is>
      </c>
      <c r="E45" s="94" t="inlineStr">
        <is>
          <t>2026-10-02 12:16</t>
        </is>
      </c>
      <c r="F45" s="94" t="inlineStr"/>
      <c r="G45" s="94" t="inlineStr">
        <is>
          <t>검증 완료 근거 미등록</t>
        </is>
      </c>
      <c r="H45" s="94" t="inlineStr">
        <is>
          <t>D:\JaeChang\Abyss</t>
        </is>
      </c>
      <c r="I45" s="94" t="inlineStr"/>
    </row>
  </sheetData>
  <autoFilter ref="A3: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2026-10-06T11:00:23Z</dcterms:created>
  <dcterms:modified xsi:type="dcterms:W3CDTF">2026-10-06T11:00:24Z</dcterms:modified>
</cp:coreProperties>
</file>